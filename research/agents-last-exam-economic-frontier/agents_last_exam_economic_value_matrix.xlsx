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851f56f6b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5c0df425d274531"/>
    <x:sheet xmlns:r="http://schemas.openxmlformats.org/officeDocument/2006/relationships" name="Task Frontier" sheetId="2" r:id="R505abc38f2db460d"/>
    <x:sheet xmlns:r="http://schemas.openxmlformats.org/officeDocument/2006/relationships" name="Task Matrix" sheetId="3" r:id="Rb49217cc82f24429"/>
    <x:sheet xmlns:r="http://schemas.openxmlformats.org/officeDocument/2006/relationships" name="Opportunity Shortlist" sheetId="4" r:id="Re5385590be4f4c56"/>
    <x:sheet xmlns:r="http://schemas.openxmlformats.org/officeDocument/2006/relationships" name="Domain Summary" sheetId="5" r:id="R35b6dd3667aa4b39"/>
    <x:sheet xmlns:r="http://schemas.openxmlformats.org/officeDocument/2006/relationships" name="Assumptions" sheetId="6" r:id="R5a09f67b86504fa6"/>
    <x:sheet xmlns:r="http://schemas.openxmlformats.org/officeDocument/2006/relationships" name="Sources and Method" sheetId="7" r:id="Ra95d913f7d4b4d6f"/>
    <x:sheet xmlns:r="http://schemas.openxmlformats.org/officeDocument/2006/relationships" name="Checks" sheetId="8" r:id="R85c170bdba23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"/>
    <x:numFmt numFmtId="201" formatCode="0.0"/>
    <x:numFmt numFmtId="202" formatCode="yyyy-mm-dd"/>
    <x:numFmt numFmtId="203" formatCode="0.00x"/>
    <x:numFmt numFmtId="204" formatCode="$0.00"/>
    <x:numFmt numFmtId="205" formatCode="#,##0"/>
    <x:numFmt numFmtId="206" formatCode="0%"/>
    <x:numFmt numFmtId="207" formatCode="$#,##0"/>
    <x:numFmt numFmtId="208" formatCode="$#,##0;[Red]($#,##0);-"/>
    <x:numFmt numFmtId="209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9"/>
      <x:color rgb="FFFFFFFF"/>
      <x:name val="Carlito"/>
    </x:font>
    <x:font>
      <x:b/>
      <x:sz val="11"/>
      <x:color rgb="FF0000FF"/>
      <x:name val="Carlito"/>
    </x:font>
    <x:font>
      <x:b/>
      <x:sz val="11"/>
      <x:color rgb="FF17324D"/>
      <x:name val="Carlito"/>
    </x:font>
    <x:font>
      <x:b/>
      <x:sz val="10"/>
      <x:color rgb="FF5B3AA8"/>
      <x:name val="Carlito"/>
    </x:font>
    <x:font>
      <x:b/>
      <x:sz val="14"/>
      <x:color rgb="FF17324D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FFFBE6"/>
      </x:patternFill>
    </x:fill>
    <x:fill>
      <x:patternFill patternType="solid">
        <x:fgColor rgb="FFEAF2FF"/>
      </x:patternFill>
    </x:fill>
    <x:fill>
      <x:patternFill patternType="solid">
        <x:fgColor rgb="FFF3F5F7"/>
      </x:patternFill>
    </x:fill>
    <x:fill>
      <x:patternFill patternType="solid">
        <x:fgColor rgb="FFF2EDFF"/>
      </x:patternFill>
    </x:fill>
  </x:fills>
  <x:borders count="1">
    <x:border/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203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4" fontId="6" fillId="5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4" fontId="6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3" fontId="4" fillId="0" borderId="0" xfId="0" applyNumberFormat="1" applyFont="1" applyFill="1" applyBorder="1"/>
    <x:xf numFmtId="205" fontId="4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6" fontId="4" fillId="0" borderId="0" xfId="0" applyNumberFormat="1" applyFont="1" applyFill="1" applyBorder="1"/>
    <x:xf numFmtId="201" fontId="0" fillId="0" borderId="0" xfId="0" applyNumberFormat="1" applyFont="1" applyFill="1" applyBorder="1"/>
    <x:xf numFmtId="207" fontId="4" fillId="0" borderId="0" xfId="0" applyNumberFormat="1" applyFont="1" applyFill="1" applyBorder="1"/>
    <x:xf numFmtId="200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9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201" fontId="11" fillId="5" borderId="0" xfId="0" applyNumberFormat="1" applyFont="1" applyFill="1" applyBorder="1"/>
    <x:xf numFmtId="207" fontId="11" fillId="5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7A4E00"/>
      </x:font>
      <x:fill>
        <x:patternFill patternType="solid">
          <x:bgColor rgb="FFFFF0CC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color rgb="FF1D4ED8"/>
      </x:font>
      <x:fill>
        <x:patternFill patternType="solid">
          <x:bgColor rgb="FFEAF2FF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eee2821fb4374" /><Relationship Type="http://schemas.openxmlformats.org/officeDocument/2006/relationships/theme" Target="/xl/theme/theme1.xml" Id="R0447f17965ad4bdd" /><Relationship Type="http://schemas.openxmlformats.org/officeDocument/2006/relationships/sharedStrings" Target="/xl/sharedStrings.xml" Id="Radc271e3a8ce42af" /><Relationship Type="http://schemas.openxmlformats.org/officeDocument/2006/relationships/worksheet" Target="/xl/worksheets/sheet1.xml" Id="R75c0df425d274531" /><Relationship Type="http://schemas.openxmlformats.org/officeDocument/2006/relationships/worksheet" Target="/xl/worksheets/sheet2.xml" Id="R505abc38f2db460d" /><Relationship Type="http://schemas.openxmlformats.org/officeDocument/2006/relationships/worksheet" Target="/xl/worksheets/sheet3.xml" Id="Rb49217cc82f24429" /><Relationship Type="http://schemas.openxmlformats.org/officeDocument/2006/relationships/worksheet" Target="/xl/worksheets/sheet4.xml" Id="Re5385590be4f4c56" /><Relationship Type="http://schemas.openxmlformats.org/officeDocument/2006/relationships/worksheet" Target="/xl/worksheets/sheet5.xml" Id="R35b6dd3667aa4b39" /><Relationship Type="http://schemas.openxmlformats.org/officeDocument/2006/relationships/worksheet" Target="/xl/worksheets/sheet6.xml" Id="R5a09f67b86504fa6" /><Relationship Type="http://schemas.openxmlformats.org/officeDocument/2006/relationships/worksheet" Target="/xl/worksheets/sheet7.xml" Id="Ra95d913f7d4b4d6f" /><Relationship Type="http://schemas.openxmlformats.org/officeDocument/2006/relationships/worksheet" Target="/xl/worksheets/sheet8.xml" Id="R85c170bdba2340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0d9dc5974c45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74d1752ccfa45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opportunity score by domain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opportunity score</c:v>
          </c:tx>
          <c:spPr>
            <a:solidFill xmlns:a="http://schemas.openxmlformats.org/drawingml/2006/main">
              <a:srgbClr val="2D6CDF"/>
            </a:solidFill>
          </c:spPr>
          <c:cat>
            <c:strRef>
              <c:f>'Domain Summary'!$A$5:$A$18</c:f>
              <c:strCache>
                <c:ptCount val="0"/>
              </c:strCache>
            </c:strRef>
          </c:cat>
          <c:val>
            <c:numRef>
              <c:f>'Domain Summary'!$C$5:$C$18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Task frontier: economic leverage × agent readiness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scatterChart>
        <c:scatterStyle val="marker"/>
        <c:ser>
          <c:idx val="0"/>
          <c:order val="0"/>
          <c:tx>
            <c:v>Legal</c:v>
          </c:tx>
          <c:spPr>
            <a:solidFill xmlns:a="http://schemas.openxmlformats.org/drawingml/2006/main">
              <a:srgbClr val="8B5CF6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'Task Frontier'!$I$35:$I$187</c:f>
              <c:numCache>
                <c:formatCode>0</c:formatCode>
                <c:ptCount val="0"/>
              </c:numCache>
            </c:numRef>
          </c:yVal>
        </c:ser>
        <c:ser>
          <c:idx val="1"/>
          <c:order val="1"/>
          <c:tx>
            <c:v>Other build now</c:v>
          </c:tx>
          <c:spPr>
            <a:solidFill xmlns:a="http://schemas.openxmlformats.org/drawingml/2006/main">
              <a:srgbClr val="2D6CDF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'Task Frontier'!$K$35:$K$187</c:f>
              <c:numCache>
                <c:formatCode>0</c:formatCode>
                <c:ptCount val="0"/>
              </c:numCache>
            </c:numRef>
          </c:yVal>
        </c:ser>
        <c:ser>
          <c:idx val="2"/>
          <c:order val="2"/>
          <c:tx>
            <c:v>Validate next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'Task Frontier'!$M$35:$M$187</c:f>
              <c:numCache>
                <c:formatCode>0</c:formatCode>
                <c:ptCount val="0"/>
              </c:numCache>
            </c:numRef>
          </c:yVal>
        </c:ser>
        <c:ser>
          <c:idx val="3"/>
          <c:order val="3"/>
          <c:tx>
            <c:v>Monitor / deprioritize</c:v>
          </c:tx>
          <c:spPr>
            <a:solidFill xmlns:a="http://schemas.openxmlformats.org/drawingml/2006/main">
              <a:srgbClr val="14B8A6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'Task Frontier'!$O$35:$O$187</c:f>
              <c:numCache>
                <c:formatCode>0</c:formatCode>
                <c:ptCount val="0"/>
              </c:numCache>
            </c:numRef>
          </c:yVal>
        </c:ser>
        <c:ser>
          <c:idx val="4"/>
          <c:order val="4"/>
          <c:tx>
            <c:v>Global Pareto frontier</c:v>
          </c:tx>
          <c:spPr>
            <a:solidFill xmlns:a="http://schemas.openxmlformats.org/drawingml/2006/main">
              <a:srgbClr val="8B5CF6"/>
            </a:solidFill>
            <a:ln xmlns:a="http://schemas.openxmlformats.org/drawingml/2006/main" w="19050">
              <a:solidFill>
                <a:srgbClr val="8B5CF6"/>
              </a:solidFill>
              <a:prstDash val="dash"/>
            </a:ln>
          </c:spPr>
          <c:xVal>
            <c:numLit>
              <c:formatCode>General</c:formatCode>
              <c:ptCount val="0"/>
            </c:numLit>
          </c:xVal>
          <c:yVal>
            <c:numRef>
              <c:f>'Task Frontier'!$U$35:$U$37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readiness: complete-agent system fit (0–100)</a:t>
                </a:r>
              </a:p>
            </c:rich>
          </c:tx>
          <c:overlay val="0"/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majorUnit val="20"/>
      </c:valAx>
      <c:valAx>
        <c:axId val="48650112"/>
        <c:scaling>
          <c:orientation val="minMax"/>
          <c:max val="40000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Economic leverage: target net annual value ($/organization/year)</a:t>
                </a:r>
              </a:p>
            </c:rich>
          </c:tx>
          <c:overlay val="0"/>
        </c:title>
        <c:numFmt formatCode="$0,&quot;k&quot;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majorUnit val="100000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0d9dc5974c458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4d1752ccfa45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askFrontierHelper" displayName="TaskFrontierHelper" ref="A34:O187" headerRowCount="1" totalsRowCount="0" totalsRowShown="0">
  <x:autoFilter ref="A34:O187"/>
  <x:tableColumns count="15">
    <x:tableColumn id="1" name="Task ID"/>
    <x:tableColumn id="2" name="Title"/>
    <x:tableColumn id="3" name="Domain"/>
    <x:tableColumn id="4" name="Recommendation"/>
    <x:tableColumn id="5" name="Economic leverage"/>
    <x:tableColumn id="6" name="Agent readiness"/>
    <x:tableColumn id="7" name="Market gap"/>
    <x:tableColumn id="8" name="Legal X"/>
    <x:tableColumn id="9" name="Legal Y"/>
    <x:tableColumn id="10" name="Other build X"/>
    <x:tableColumn id="11" name="Other build Y"/>
    <x:tableColumn id="12" name="Validate X"/>
    <x:tableColumn id="13" name="Validate Y"/>
    <x:tableColumn id="14" name="Monitor X"/>
    <x:tableColumn id="15" name="Monitor 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skEconomicMatrix" displayName="TaskEconomicMatrix" ref="A4:AM157" headerRowCount="1" totalsRowCount="0" totalsRowShown="0">
  <x:autoFilter ref="A4:AM157"/>
  <x:tableColumns count="39">
    <x:tableColumn id="1" name="Rank"/>
    <x:tableColumn id="2" name="Task ID"/>
    <x:tableColumn id="3" name="Title"/>
    <x:tableColumn id="4" name="Domain"/>
    <x:tableColumn id="5" name="Subdomain"/>
    <x:tableColumn id="6" name="Work type"/>
    <x:tableColumn id="7" name="Primary role"/>
    <x:tableColumn id="8" name="BLS cost group"/>
    <x:tableColumn id="9" name="Specialist premium"/>
    <x:tableColumn id="10" name="Output type"/>
    <x:tableColumn id="11" name="Human hours low"/>
    <x:tableColumn id="12" name="Human hours base"/>
    <x:tableColumn id="13" name="Human hours high"/>
    <x:tableColumn id="14" name="Annual frequency"/>
    <x:tableColumn id="15" name="Loaded hourly cost"/>
    <x:tableColumn id="16" name="Risk level"/>
    <x:tableColumn id="17" name="Risk multiplier"/>
    <x:tableColumn id="18" name="Review burden"/>
    <x:tableColumn id="19" name="Review hours"/>
    <x:tableColumn id="20" name="Compute cost per run"/>
    <x:tableColumn id="21" name="Current reality (1-5)"/>
    <x:tableColumn id="22" name="Bonsai fit (0-100)"/>
    <x:tableColumn id="23" name="Current success rate"/>
    <x:tableColumn id="24" name="Target success rate"/>
    <x:tableColumn id="25" name="Market gap (0-100)"/>
    <x:tableColumn id="26" name="Deployment readiness"/>
    <x:tableColumn id="27" name="Value per completion low"/>
    <x:tableColumn id="28" name="Value per completion base"/>
    <x:tableColumn id="29" name="Value per completion high"/>
    <x:tableColumn id="30" name="Annual gross value"/>
    <x:tableColumn id="31" name="Current net annual value"/>
    <x:tableColumn id="32" name="Target net annual value"/>
    <x:tableColumn id="33" name="Economic percentile"/>
    <x:tableColumn id="34" name="Opportunity score"/>
    <x:tableColumn id="35" name="Confidence"/>
    <x:tableColumn id="36" name="Gap hypothesis"/>
    <x:tableColumn id="37" name="Recommended move"/>
    <x:tableColumn id="38" name="Current reality note"/>
    <x:tableColumn id="39" name="Task card 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mainOpportunitySummary" displayName="DomainOpportunitySummary" ref="A4:F18" headerRowCount="1" totalsRowCount="0" totalsRowShown="0">
  <x:tableColumns count="6">
    <x:tableColumn id="1" name="Domain"/>
    <x:tableColumn id="2" name="Task count"/>
    <x:tableColumn id="3" name="Average opportunity"/>
    <x:tableColumn id="4" name="Average Bonsai fit"/>
    <x:tableColumn id="5" name="Target net annual value"/>
    <x:tableColumn id="6" name="Build-now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dc7f53945549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47026e044154b84" /><Relationship Type="http://schemas.openxmlformats.org/officeDocument/2006/relationships/table" Target="/xl/tables/table1.xml" Id="Rbc202be23f3c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b6cff2ab20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eac748d5ee842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3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Agents' Last Exam economic opportunity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7" t="str">
        <x:v>A ranked view of 153 published tasks to identify near-term Bonsai product wedges. Economic values are formula-driven estimates based on loaded labor cost, human time, frequency, risk, review cost, and assumed Bonsai success.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>
      <x:c r="A5" s="55" t="str">
        <x:v>Published tasks</x:v>
      </x:c>
      <x:c r="B5" s="55"/>
      <x:c r="C5" s="70" t="n">
        <x:f>COUNTA('Task Matrix'!$B$5:$B$157)</x:f>
        <x:v>153</x:v>
      </x:c>
      <x:c r="D5" s="14" t="str">
        <x:v>How to use this workbook</x:v>
      </x:c>
      <x:c r="E5" s="14"/>
      <x:c r="F5" s="14"/>
      <x:c r="G5" s="14"/>
      <x:c r="H5" s="14"/>
      <x:c r="I5" s="14"/>
      <x:c r="J5" s="14"/>
      <x:c r="K5" s="14"/>
      <x:c r="L5" s="14"/>
    </x:row>
    <x:row r="6">
      <x:c r="A6" s="55" t="str">
        <x:v>Build-now opportunities</x:v>
      </x:c>
      <x:c r="B6" s="55"/>
      <x:c r="C6" s="70" t="n">
        <x:f>COUNTIF('Task Matrix'!$AK$5:$AK$157,"Build now")</x:f>
        <x:v>14</x:v>
      </x:c>
      <x:c r="D6" s="75" t="str">
        <x:v>Start with the Opportunity Shortlist. Favor tasks with high Bonsai fit, high market gap, structured outputs, and manageable review requirements. Treat the dollar values as adjustable work-unit proxies. Replace human hours and annual frequency with customer-specific observations before making an investment decision.</x:v>
      </x:c>
      <x:c r="E6" s="75"/>
      <x:c r="F6" s="75"/>
      <x:c r="G6" s="75"/>
      <x:c r="H6" s="75"/>
      <x:c r="I6" s="75"/>
      <x:c r="J6" s="75"/>
      <x:c r="K6" s="75"/>
      <x:c r="L6" s="75"/>
    </x:row>
    <x:row r="7">
      <x:c r="A7" s="55" t="str">
        <x:v>Median opportunity score</x:v>
      </x:c>
      <x:c r="B7" s="55"/>
      <x:c r="C7" s="71" t="n">
        <x:f>MEDIAN('Task Matrix'!$AH$5:$AH$157)</x:f>
        <x:v>55.184210526315795</x:v>
      </x:c>
      <x:c r="D7" s="75"/>
      <x:c r="E7" s="75"/>
      <x:c r="F7" s="75"/>
      <x:c r="G7" s="75"/>
      <x:c r="H7" s="75"/>
      <x:c r="I7" s="75"/>
      <x:c r="J7" s="75"/>
      <x:c r="K7" s="75"/>
      <x:c r="L7" s="75"/>
    </x:row>
    <x:row r="8">
      <x:c r="A8" s="55" t="str">
        <x:v>Modeled target net annual value</x:v>
      </x:c>
      <x:c r="B8" s="55"/>
      <x:c r="C8" s="72" t="n">
        <x:f>SUM('Task Matrix'!$AF$5:$AF$157)</x:f>
        <x:v>4842129.199092242</x:v>
      </x:c>
      <x:c r="D8" s="75"/>
      <x:c r="E8" s="75"/>
      <x:c r="F8" s="75"/>
      <x:c r="G8" s="75"/>
      <x:c r="H8" s="75"/>
      <x:c r="I8" s="75"/>
      <x:c r="J8" s="75"/>
      <x:c r="K8" s="75"/>
      <x:c r="L8" s="75"/>
    </x:row>
    <x:row r="9">
      <x:c r="A9" s="55" t="str">
        <x:v>Average Bonsai fit</x:v>
      </x:c>
      <x:c r="B9" s="55"/>
      <x:c r="C9" s="71" t="n">
        <x:f>AVERAGE('Task Matrix'!$V$5:$V$157)</x:f>
        <x:v>52</x:v>
      </x:c>
      <x:c r="D9" s="75"/>
      <x:c r="E9" s="75"/>
      <x:c r="F9" s="75"/>
      <x:c r="G9" s="75"/>
      <x:c r="H9" s="75"/>
      <x:c r="I9" s="75"/>
      <x:c r="J9" s="75"/>
      <x:c r="K9" s="75"/>
      <x:c r="L9" s="75"/>
    </x:row>
    <x:row r="10">
      <x:c r="A10" s="55" t="str">
        <x:v>Model status</x:v>
      </x:c>
      <x:c r="B10" s="55"/>
      <x:c r="C10" s="70" t="str">
        <x:f>'Checks'!$B$11</x:f>
        <x:v>OK</x:v>
      </x:c>
      <x:c r="D10" s="75"/>
      <x:c r="E10" s="75"/>
      <x:c r="F10" s="75"/>
      <x:c r="G10" s="75"/>
      <x:c r="H10" s="75"/>
      <x:c r="I10" s="75"/>
      <x:c r="J10" s="75"/>
      <x:c r="K10" s="75"/>
      <x:c r="L10" s="75"/>
    </x:row>
    <x:row r="13">
      <x:c r="A13" s="24" t="str">
        <x:v>Rank</x:v>
      </x:c>
      <x:c r="B13" s="24" t="str">
        <x:v>Task ID</x:v>
      </x:c>
      <x:c r="C13" s="24" t="str">
        <x:v>Title</x:v>
      </x:c>
      <x:c r="D13" s="24" t="str">
        <x:v>Domain</x:v>
      </x:c>
      <x:c r="E13" s="24" t="str">
        <x:v>Opportunity</x:v>
      </x:c>
      <x:c r="F13" s="24" t="str">
        <x:v>Bonsai fit</x:v>
      </x:c>
      <x:c r="G13" s="24" t="str">
        <x:v>Target net annual value</x:v>
      </x:c>
      <x:c r="H13" s="24" t="str">
        <x:v>Recommended move</x:v>
      </x:c>
    </x:row>
    <x:row r="14">
      <x:c r="A14" t="n">
        <x:v>1</x:v>
      </x:c>
      <x:c r="B14" s="21" t="str">
        <x:f>INDEX('Task Matrix'!$B$5:$B$157,MATCH(A14,'Task Matrix'!$A$5:$A$157,0))</x:f>
        <x:v>legal/legal_dr_fees_01</x:v>
      </x:c>
      <x:c r="C14" s="21" t="str">
        <x:f>INDEX('Task Matrix'!$C$5:$C$157,MATCH(A14,'Task Matrix'!$A$5:$A$157,0))</x:f>
        <x:v>BAC Arbitration Fee Calculation</x:v>
      </x:c>
      <x:c r="D14" s="21" t="str">
        <x:f>INDEX('Task Matrix'!$D$5:$D$157,MATCH(A14,'Task Matrix'!$A$5:$A$157,0))</x:f>
        <x:v>legal</x:v>
      </x:c>
      <x:c r="E14" s="68" t="n">
        <x:f>INDEX('Task Matrix'!$AH$5:$AH$157,MATCH(A14,'Task Matrix'!$A$5:$A$157,0))</x:f>
        <x:v>82.2092105263158</x:v>
      </x:c>
      <x:c r="F14" s="68" t="n">
        <x:f>INDEX('Task Matrix'!$V$5:$V$157,MATCH(A14,'Task Matrix'!$A$5:$A$157,0))</x:f>
        <x:v>92</x:v>
      </x:c>
      <x:c r="G14" s="69" t="n">
        <x:f>INDEX('Task Matrix'!$AF$5:$AF$157,MATCH(A14,'Task Matrix'!$A$5:$A$157,0))</x:f>
        <x:v>82776.11470335998</x:v>
      </x:c>
      <x:c r="H14" s="21" t="str">
        <x:f>INDEX('Task Matrix'!$AK$5:$AK$157,MATCH(A14,'Task Matrix'!$A$5:$A$157,0))</x:f>
        <x:v>Build now</x:v>
      </x:c>
    </x:row>
    <x:row r="15">
      <x:c r="A15" t="n">
        <x:v>2</x:v>
      </x:c>
      <x:c r="B15" s="21" t="str">
        <x:f>INDEX('Task Matrix'!$B$5:$B$157,MATCH(A15,'Task Matrix'!$A$5:$A$157,0))</x:f>
        <x:v>health_medicine/healthcare_bias_audit_27a_public_replication_v1</x:v>
      </x:c>
      <x:c r="C15" s="21" t="str">
        <x:f>INDEX('Task Matrix'!$C$5:$C$157,MATCH(A15,'Task Matrix'!$A$5:$A$157,0))</x:f>
        <x:v>Public Synthetic Healthcare Bias Audit Replication</x:v>
      </x:c>
      <x:c r="D15" s="21" t="str">
        <x:f>INDEX('Task Matrix'!$D$5:$D$157,MATCH(A15,'Task Matrix'!$A$5:$A$157,0))</x:f>
        <x:v>health_medicine</x:v>
      </x:c>
      <x:c r="E15" s="68" t="n">
        <x:f>INDEX('Task Matrix'!$AH$5:$AH$157,MATCH(A15,'Task Matrix'!$A$5:$A$157,0))</x:f>
        <x:v>80.91973684210525</x:v>
      </x:c>
      <x:c r="F15" s="68" t="n">
        <x:f>INDEX('Task Matrix'!$V$5:$V$157,MATCH(A15,'Task Matrix'!$A$5:$A$157,0))</x:f>
        <x:v>82</x:v>
      </x:c>
      <x:c r="G15" s="69" t="n">
        <x:f>INDEX('Task Matrix'!$AF$5:$AF$157,MATCH(A15,'Task Matrix'!$A$5:$A$157,0))</x:f>
        <x:v>168784.48076799995</x:v>
      </x:c>
      <x:c r="H15" s="21" t="str">
        <x:f>INDEX('Task Matrix'!$AK$5:$AK$157,MATCH(A15,'Task Matrix'!$A$5:$A$157,0))</x:f>
        <x:v>Build now</x:v>
      </x:c>
    </x:row>
    <x:row r="16">
      <x:c r="A16" t="n">
        <x:v>3</x:v>
      </x:c>
      <x:c r="B16" s="21" t="str">
        <x:f>INDEX('Task Matrix'!$B$5:$B$157,MATCH(A16,'Task Matrix'!$A$5:$A$157,0))</x:f>
        <x:v>business_finance/llm_ecosystem_privacy_audit_realdata_1</x:v>
      </x:c>
      <x:c r="C16" s="21" t="str">
        <x:f>INDEX('Task Matrix'!$C$5:$C$157,MATCH(A16,'Task Matrix'!$A$5:$A$157,0))</x:f>
        <x:v>GPT Actions Privacy &amp; Policy Audit</x:v>
      </x:c>
      <x:c r="D16" s="21" t="str">
        <x:f>INDEX('Task Matrix'!$D$5:$D$157,MATCH(A16,'Task Matrix'!$A$5:$A$157,0))</x:f>
        <x:v>business_finance</x:v>
      </x:c>
      <x:c r="E16" s="68" t="n">
        <x:f>INDEX('Task Matrix'!$AH$5:$AH$157,MATCH(A16,'Task Matrix'!$A$5:$A$157,0))</x:f>
        <x:v>79.52631578947368</x:v>
      </x:c>
      <x:c r="F16" s="68" t="n">
        <x:f>INDEX('Task Matrix'!$V$5:$V$157,MATCH(A16,'Task Matrix'!$A$5:$A$157,0))</x:f>
        <x:v>66</x:v>
      </x:c>
      <x:c r="G16" s="69" t="n">
        <x:f>INDEX('Task Matrix'!$AF$5:$AF$157,MATCH(A16,'Task Matrix'!$A$5:$A$157,0))</x:f>
        <x:v>93461.9245</x:v>
      </x:c>
      <x:c r="H16" s="21" t="str">
        <x:f>INDEX('Task Matrix'!$AK$5:$AK$157,MATCH(A16,'Task Matrix'!$A$5:$A$157,0))</x:f>
        <x:v>Build now</x:v>
      </x:c>
    </x:row>
    <x:row r="17">
      <x:c r="A17" t="n">
        <x:v>4</x:v>
      </x:c>
      <x:c r="B17" s="21" t="str">
        <x:f>INDEX('Task Matrix'!$B$5:$B$157,MATCH(A17,'Task Matrix'!$A$5:$A$157,0))</x:f>
        <x:v>physical_sciences/qm9_mmff94_forcefield_survey_1</x:v>
      </x:c>
      <x:c r="C17" s="21" t="str">
        <x:f>INDEX('Task Matrix'!$C$5:$C$157,MATCH(A17,'Task Matrix'!$A$5:$A$157,0))</x:f>
        <x:v>QM9 MMFF94 Force-Field Failure Survey</x:v>
      </x:c>
      <x:c r="D17" s="21" t="str">
        <x:f>INDEX('Task Matrix'!$D$5:$D$157,MATCH(A17,'Task Matrix'!$A$5:$A$157,0))</x:f>
        <x:v>physical_sciences</x:v>
      </x:c>
      <x:c r="E17" s="68" t="n">
        <x:f>INDEX('Task Matrix'!$AH$5:$AH$157,MATCH(A17,'Task Matrix'!$A$5:$A$157,0))</x:f>
        <x:v>78.53684210526316</x:v>
      </x:c>
      <x:c r="F17" s="68" t="n">
        <x:f>INDEX('Task Matrix'!$V$5:$V$157,MATCH(A17,'Task Matrix'!$A$5:$A$157,0))</x:f>
        <x:v>82</x:v>
      </x:c>
      <x:c r="G17" s="69" t="n">
        <x:f>INDEX('Task Matrix'!$AF$5:$AF$157,MATCH(A17,'Task Matrix'!$A$5:$A$157,0))</x:f>
        <x:v>70278.99579999999</x:v>
      </x:c>
      <x:c r="H17" s="21" t="str">
        <x:f>INDEX('Task Matrix'!$AK$5:$AK$157,MATCH(A17,'Task Matrix'!$A$5:$A$157,0))</x:f>
        <x:v>Build now</x:v>
      </x:c>
    </x:row>
    <x:row r="18">
      <x:c r="A18" t="n">
        <x:v>5</x:v>
      </x:c>
      <x:c r="B18" s="21" t="str">
        <x:f>INDEX('Task Matrix'!$B$5:$B$157,MATCH(A18,'Task Matrix'!$A$5:$A$157,0))</x:f>
        <x:v>transport_safety/fds_single_compartment_detector_reconstruction</x:v>
      </x:c>
      <x:c r="C18" s="21" t="str">
        <x:f>INDEX('Task Matrix'!$C$5:$C$157,MATCH(A18,'Task Matrix'!$A$5:$A$157,0))</x:f>
        <x:v>FDS Single-Compartment Detector Reconstruction</x:v>
      </x:c>
      <x:c r="D18" s="21" t="str">
        <x:f>INDEX('Task Matrix'!$D$5:$D$157,MATCH(A18,'Task Matrix'!$A$5:$A$157,0))</x:f>
        <x:v>transport_safety</x:v>
      </x:c>
      <x:c r="E18" s="68" t="n">
        <x:f>INDEX('Task Matrix'!$AH$5:$AH$157,MATCH(A18,'Task Matrix'!$A$5:$A$157,0))</x:f>
        <x:v>78.26184210526317</x:v>
      </x:c>
      <x:c r="F18" s="68" t="n">
        <x:f>INDEX('Task Matrix'!$V$5:$V$157,MATCH(A18,'Task Matrix'!$A$5:$A$157,0))</x:f>
        <x:v>82</x:v>
      </x:c>
      <x:c r="G18" s="69" t="n">
        <x:f>INDEX('Task Matrix'!$AF$5:$AF$157,MATCH(A18,'Task Matrix'!$A$5:$A$157,0))</x:f>
        <x:v>116546.29172991995</x:v>
      </x:c>
      <x:c r="H18" s="21" t="str">
        <x:f>INDEX('Task Matrix'!$AK$5:$AK$157,MATCH(A18,'Task Matrix'!$A$5:$A$157,0))</x:f>
        <x:v>Build now</x:v>
      </x:c>
    </x:row>
    <x:row r="19">
      <x:c r="A19" t="n">
        <x:v>6</x:v>
      </x:c>
      <x:c r="B19" s="21" t="str">
        <x:f>INDEX('Task Matrix'!$B$5:$B$157,MATCH(A19,'Task Matrix'!$A$5:$A$157,0))</x:f>
        <x:v>computing_math/k3_abelian_extensions</x:v>
      </x:c>
      <x:c r="C19" s="21" t="str">
        <x:f>INDEX('Task Matrix'!$C$5:$C$157,MATCH(A19,'Task Matrix'!$A$5:$A$157,0))</x:f>
        <x:v>Finite Abelian Extension Classification</x:v>
      </x:c>
      <x:c r="D19" s="21" t="str">
        <x:f>INDEX('Task Matrix'!$D$5:$D$157,MATCH(A19,'Task Matrix'!$A$5:$A$157,0))</x:f>
        <x:v>computing_math</x:v>
      </x:c>
      <x:c r="E19" s="68" t="n">
        <x:f>INDEX('Task Matrix'!$AH$5:$AH$157,MATCH(A19,'Task Matrix'!$A$5:$A$157,0))</x:f>
        <x:v>77.91842105263157</x:v>
      </x:c>
      <x:c r="F19" s="68" t="n">
        <x:f>INDEX('Task Matrix'!$V$5:$V$157,MATCH(A19,'Task Matrix'!$A$5:$A$157,0))</x:f>
        <x:v>82</x:v>
      </x:c>
      <x:c r="G19" s="69" t="n">
        <x:f>INDEX('Task Matrix'!$AF$5:$AF$157,MATCH(A19,'Task Matrix'!$A$5:$A$157,0))</x:f>
        <x:v>56265.9318208</x:v>
      </x:c>
      <x:c r="H19" s="21" t="str">
        <x:f>INDEX('Task Matrix'!$AK$5:$AK$157,MATCH(A19,'Task Matrix'!$A$5:$A$157,0))</x:f>
        <x:v>Build now</x:v>
      </x:c>
    </x:row>
    <x:row r="20">
      <x:c r="A20" t="n">
        <x:v>7</x:v>
      </x:c>
      <x:c r="B20" s="21" t="str">
        <x:f>INDEX('Task Matrix'!$B$5:$B$157,MATCH(A20,'Task Matrix'!$A$5:$A$157,0))</x:f>
        <x:v>computing_math/pcap_enterprise_triage_01</x:v>
      </x:c>
      <x:c r="C20" s="21" t="str">
        <x:f>INDEX('Task Matrix'!$C$5:$C$157,MATCH(A20,'Task Matrix'!$A$5:$A$157,0))</x:f>
        <x:v>Enterprise PCAP Triage In Wireshark</x:v>
      </x:c>
      <x:c r="D20" s="21" t="str">
        <x:f>INDEX('Task Matrix'!$D$5:$D$157,MATCH(A20,'Task Matrix'!$A$5:$A$157,0))</x:f>
        <x:v>computing_math</x:v>
      </x:c>
      <x:c r="E20" s="68" t="n">
        <x:f>INDEX('Task Matrix'!$AH$5:$AH$157,MATCH(A20,'Task Matrix'!$A$5:$A$157,0))</x:f>
        <x:v>76.45263157894736</x:v>
      </x:c>
      <x:c r="F20" s="68" t="n">
        <x:f>INDEX('Task Matrix'!$V$5:$V$157,MATCH(A20,'Task Matrix'!$A$5:$A$157,0))</x:f>
        <x:v>82</x:v>
      </x:c>
      <x:c r="G20" s="69" t="n">
        <x:f>INDEX('Task Matrix'!$AF$5:$AF$157,MATCH(A20,'Task Matrix'!$A$5:$A$157,0))</x:f>
        <x:v>77610.86115328</x:v>
      </x:c>
      <x:c r="H20" s="21" t="str">
        <x:f>INDEX('Task Matrix'!$AK$5:$AK$157,MATCH(A20,'Task Matrix'!$A$5:$A$157,0))</x:f>
        <x:v>Build now</x:v>
      </x:c>
    </x:row>
    <x:row r="21">
      <x:c r="A21" t="n">
        <x:v>8</x:v>
      </x:c>
      <x:c r="B21" s="21" t="str">
        <x:f>INDEX('Task Matrix'!$B$5:$B$157,MATCH(A21,'Task Matrix'!$A$5:$A$157,0))</x:f>
        <x:v>life_sciences/amber_three_stage_mmgbsa_workflow_instance_1</x:v>
      </x:c>
      <x:c r="C21" s="21" t="str">
        <x:f>INDEX('Task Matrix'!$C$5:$C$157,MATCH(A21,'Task Matrix'!$A$5:$A$157,0))</x:f>
        <x:v>Amber Three-Stage MMGBSA Workflow Authoring</x:v>
      </x:c>
      <x:c r="D21" s="21" t="str">
        <x:f>INDEX('Task Matrix'!$D$5:$D$157,MATCH(A21,'Task Matrix'!$A$5:$A$157,0))</x:f>
        <x:v>life_sciences</x:v>
      </x:c>
      <x:c r="E21" s="68" t="n">
        <x:f>INDEX('Task Matrix'!$AH$5:$AH$157,MATCH(A21,'Task Matrix'!$A$5:$A$157,0))</x:f>
        <x:v>76.36842105263158</x:v>
      </x:c>
      <x:c r="F21" s="68" t="n">
        <x:f>INDEX('Task Matrix'!$V$5:$V$157,MATCH(A21,'Task Matrix'!$A$5:$A$157,0))</x:f>
        <x:v>72</x:v>
      </x:c>
      <x:c r="G21" s="69" t="n">
        <x:f>INDEX('Task Matrix'!$AF$5:$AF$157,MATCH(A21,'Task Matrix'!$A$5:$A$157,0))</x:f>
        <x:v>88895.8252</x:v>
      </x:c>
      <x:c r="H21" s="21" t="str">
        <x:f>INDEX('Task Matrix'!$AK$5:$AK$157,MATCH(A21,'Task Matrix'!$A$5:$A$157,0))</x:f>
        <x:v>Build now</x:v>
      </x:c>
    </x:row>
    <x:row r="22">
      <x:c r="A22" t="n">
        <x:v>9</x:v>
      </x:c>
      <x:c r="B22" s="21" t="str">
        <x:f>INDEX('Task Matrix'!$B$5:$B$157,MATCH(A22,'Task Matrix'!$A$5:$A$157,0))</x:f>
        <x:v>life_sciences/rgi_mcr1_colistin_v2</x:v>
      </x:c>
      <x:c r="C22" s="21" t="str">
        <x:f>INDEX('Task Matrix'!$C$5:$C$157,MATCH(A22,'Task Matrix'!$A$5:$A$157,0))</x:f>
        <x:v>RGI Contig Resistance Annotation</x:v>
      </x:c>
      <x:c r="D22" s="21" t="str">
        <x:f>INDEX('Task Matrix'!$D$5:$D$157,MATCH(A22,'Task Matrix'!$A$5:$A$157,0))</x:f>
        <x:v>life_sciences</x:v>
      </x:c>
      <x:c r="E22" s="68" t="n">
        <x:f>INDEX('Task Matrix'!$AH$5:$AH$157,MATCH(A22,'Task Matrix'!$A$5:$A$157,0))</x:f>
        <x:v>76.24736842105263</x:v>
      </x:c>
      <x:c r="F22" s="68" t="n">
        <x:f>INDEX('Task Matrix'!$V$5:$V$157,MATCH(A22,'Task Matrix'!$A$5:$A$157,0))</x:f>
        <x:v>82</x:v>
      </x:c>
      <x:c r="G22" s="69" t="n">
        <x:f>INDEX('Task Matrix'!$AF$5:$AF$157,MATCH(A22,'Task Matrix'!$A$5:$A$157,0))</x:f>
        <x:v>52644.24684999999</x:v>
      </x:c>
      <x:c r="H22" s="21" t="str">
        <x:f>INDEX('Task Matrix'!$AK$5:$AK$157,MATCH(A22,'Task Matrix'!$A$5:$A$157,0))</x:f>
        <x:v>Build now</x:v>
      </x:c>
    </x:row>
    <x:row r="23">
      <x:c r="A23" t="n">
        <x:v>10</x:v>
      </x:c>
      <x:c r="B23" s="21" t="str">
        <x:f>INDEX('Task Matrix'!$B$5:$B$157,MATCH(A23,'Task Matrix'!$A$5:$A$157,0))</x:f>
        <x:v>legal/agora_governance_classify_instance_1</x:v>
      </x:c>
      <x:c r="C23" s="21" t="str">
        <x:f>INDEX('Task Matrix'!$C$5:$C$157,MATCH(A23,'Task Matrix'!$A$5:$A$157,0))</x:f>
        <x:v>AGORA AI Governance Document Classification</x:v>
      </x:c>
      <x:c r="D23" s="21" t="str">
        <x:f>INDEX('Task Matrix'!$D$5:$D$157,MATCH(A23,'Task Matrix'!$A$5:$A$157,0))</x:f>
        <x:v>legal</x:v>
      </x:c>
      <x:c r="E23" s="68" t="n">
        <x:f>INDEX('Task Matrix'!$AH$5:$AH$157,MATCH(A23,'Task Matrix'!$A$5:$A$157,0))</x:f>
        <x:v>76.2092105263158</x:v>
      </x:c>
      <x:c r="F23" s="68" t="n">
        <x:f>INDEX('Task Matrix'!$V$5:$V$157,MATCH(A23,'Task Matrix'!$A$5:$A$157,0))</x:f>
        <x:v>82</x:v>
      </x:c>
      <x:c r="G23" s="69" t="n">
        <x:f>INDEX('Task Matrix'!$AF$5:$AF$157,MATCH(A23,'Task Matrix'!$A$5:$A$157,0))</x:f>
        <x:v>70839.48192255998</x:v>
      </x:c>
      <x:c r="H23" s="21" t="str">
        <x:f>INDEX('Task Matrix'!$AK$5:$AK$157,MATCH(A23,'Task Matrix'!$A$5:$A$157,0))</x:f>
        <x:v>Build now</x:v>
      </x:c>
    </x:row>
    <x:row r="24">
      <x:c r="A24" t="n">
        <x:v>11</x:v>
      </x:c>
      <x:c r="B24" s="21" t="str">
        <x:f>INDEX('Task Matrix'!$B$5:$B$157,MATCH(A24,'Task Matrix'!$A$5:$A$157,0))</x:f>
        <x:v>business_finance/taxform_4_1</x:v>
      </x:c>
      <x:c r="C24" s="21" t="str">
        <x:f>INDEX('Task Matrix'!$C$5:$C$157,MATCH(A24,'Task Matrix'!$A$5:$A$157,0))</x:f>
        <x:v>Taxform 4 1</x:v>
      </x:c>
      <x:c r="D24" s="21" t="str">
        <x:f>INDEX('Task Matrix'!$D$5:$D$157,MATCH(A24,'Task Matrix'!$A$5:$A$157,0))</x:f>
        <x:v>business_finance</x:v>
      </x:c>
      <x:c r="E24" s="68" t="n">
        <x:f>INDEX('Task Matrix'!$AH$5:$AH$157,MATCH(A24,'Task Matrix'!$A$5:$A$157,0))</x:f>
        <x:v>75.79473684210525</x:v>
      </x:c>
      <x:c r="F24" s="68" t="n">
        <x:f>INDEX('Task Matrix'!$V$5:$V$157,MATCH(A24,'Task Matrix'!$A$5:$A$157,0))</x:f>
        <x:v>82</x:v>
      </x:c>
      <x:c r="G24" s="69" t="n">
        <x:f>INDEX('Task Matrix'!$AF$5:$AF$157,MATCH(A24,'Task Matrix'!$A$5:$A$157,0))</x:f>
        <x:v>69905.39061375998</x:v>
      </x:c>
      <x:c r="H24" s="21" t="str">
        <x:f>INDEX('Task Matrix'!$AK$5:$AK$157,MATCH(A24,'Task Matrix'!$A$5:$A$157,0))</x:f>
        <x:v>Build now</x:v>
      </x:c>
    </x:row>
    <x:row r="25">
      <x:c r="A25" t="n">
        <x:v>12</x:v>
      </x:c>
      <x:c r="B25" s="21" t="str">
        <x:f>INDEX('Task Matrix'!$B$5:$B$157,MATCH(A25,'Task Matrix'!$A$5:$A$157,0))</x:f>
        <x:v>business_finance/sse_northbound_programmatic_trading_01</x:v>
      </x:c>
      <x:c r="C25" s="21" t="str">
        <x:f>INDEX('Task Matrix'!$C$5:$C$157,MATCH(A25,'Task Matrix'!$A$5:$A$157,0))</x:f>
        <x:v>SSE Northbound Programmatic Trading Research</x:v>
      </x:c>
      <x:c r="D25" s="21" t="str">
        <x:f>INDEX('Task Matrix'!$D$5:$D$157,MATCH(A25,'Task Matrix'!$A$5:$A$157,0))</x:f>
        <x:v>business_finance</x:v>
      </x:c>
      <x:c r="E25" s="68" t="n">
        <x:f>INDEX('Task Matrix'!$AH$5:$AH$157,MATCH(A25,'Task Matrix'!$A$5:$A$157,0))</x:f>
        <x:v>75.53157894736843</x:v>
      </x:c>
      <x:c r="F25" s="68" t="n">
        <x:f>INDEX('Task Matrix'!$V$5:$V$157,MATCH(A25,'Task Matrix'!$A$5:$A$157,0))</x:f>
        <x:v>92</x:v>
      </x:c>
      <x:c r="G25" s="69" t="n">
        <x:f>INDEX('Task Matrix'!$AF$5:$AF$157,MATCH(A25,'Task Matrix'!$A$5:$A$157,0))</x:f>
        <x:v>50307.81674495999</x:v>
      </x:c>
      <x:c r="H25" s="21" t="str">
        <x:f>INDEX('Task Matrix'!$AK$5:$AK$157,MATCH(A25,'Task Matrix'!$A$5:$A$157,0))</x:f>
        <x:v>Build now</x:v>
      </x:c>
    </x:row>
  </x:sheetData>
  <x:mergeCells>
    <x:mergeCell ref="A1:L1"/>
    <x:mergeCell ref="A2:L3"/>
    <x:mergeCell ref="A5:B5"/>
    <x:mergeCell ref="A6:B6"/>
    <x:mergeCell ref="A7:B7"/>
    <x:mergeCell ref="A8:B8"/>
    <x:mergeCell ref="A9:B9"/>
    <x:mergeCell ref="A10:B10"/>
    <x:mergeCell ref="D5:L5"/>
    <x:mergeCell ref="D6:L10"/>
  </x:mergeCells>
  <x:conditionalFormatting sqref="E14:E25">
    <x:cfRule type="colorScale" priority="1">
      <x:colorScale>
        <x:cfvo type="min"/>
        <x:cfvo type="percentile" val="50"/>
        <x:cfvo type="max"/>
        <x:color rgb="FFFDE2E2"/>
        <x:color rgb="FFFFF0CC"/>
        <x:color rgb="FFDFF3E4"/>
      </x:colorScale>
    </x:cfRule>
  </x:conditionalFormatting>
  <x:conditionalFormatting sqref="H14:H25">
    <x:cfRule type="containsText" dxfId="5" priority="2" operator="containsText" text="Build now"/>
  </x:conditionalFormatting>
  <x:pageMargins left="0.7" right="0.7" top="0.75" bottom="0.75" header="0.3" footer="0.3"/>
  <x:drawing xmlns:r="http://schemas.openxmlformats.org/officeDocument/2006/relationships" r:id="R6ddc7f539455494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7" max="17" width="24" hidden="0" customWidth="1"/>
    <x:col min="19" max="19" width="48" hidden="0" customWidth="1"/>
    <x:col min="20" max="20" width="18" hidden="0" customWidth="1"/>
    <x:col min="21" max="21" width="18" hidden="0" customWidth="1"/>
  </x:cols>
  <x:sheetData>
    <x:row r="1" ht="32" customHeight="1">
      <x:c r="A1" s="3" t="str">
        <x:v>Economic leverage × agent readiness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7" t="str">
        <x:v>Native Excel frontier chart for all 153 published ALE tasks. Economic leverage is modeled target net annual value per representative organization; agent readiness is complete-system Bonsai fit, not raw model accuracy.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>
      <x:c r="A5" s="56" t="str">
        <x:v>Domain filter</x:v>
      </x:c>
      <x:c r="B5" s="58" t="str">
        <x:v>All domains</x:v>
      </x:c>
      <x:c r="C5" s="56"/>
      <x:c r="D5" s="56" t="str">
        <x:v>Tasks shown</x:v>
      </x:c>
      <x:c r="E5" s="61" t="n">
        <x:f>IF(B5="All domains",COUNTA(A35:A187),COUNTIF(C35:C187,B5))</x:f>
        <x:v>153</x:v>
      </x:c>
      <x:c r="F5" s="56"/>
      <x:c r="G5" s="56" t="str">
        <x:v>Axis scale</x:v>
      </x:c>
      <x:c r="H5" s="60" t="str">
        <x:v>Linear dollars</x:v>
      </x:c>
    </x:row>
    <x:row r="6" ht="30" customHeight="1">
      <x:c r="A6" s="7" t="str">
        <x:v>Upper-right means greater economic leverage and greater agent readiness. Series colors represent the recommended action. The dashed global frontier is shown only when All domains is selected.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 ht="26" customHeight="1">
      <x:c r="A7" s="65" t="str">
        <x:v>Pareto frontier: BAC Arbitration Fee Calculation → Public Synthetic Healthcare Bias Audit Replication → Build A Pinned Clinical Variant Annotation Table</x:v>
      </x:c>
      <x:c r="B7" s="65"/>
      <x:c r="C7" s="65"/>
      <x:c r="D7" s="65"/>
      <x:c r="E7" s="65"/>
      <x:c r="F7" s="65"/>
      <x:c r="G7" s="65"/>
      <x:c r="H7" s="65"/>
      <x:c r="I7" s="65"/>
      <x:c r="J7" s="65"/>
      <x:c r="K7" s="65"/>
      <x:c r="L7" s="65"/>
      <x:c r="M7" s="65"/>
      <x:c r="N7" s="65"/>
    </x:row>
    <x:row r="34" ht="34" customHeight="1">
      <x:c r="A34" s="29" t="str">
        <x:v>Task ID</x:v>
      </x:c>
      <x:c r="B34" s="29" t="str">
        <x:v>Title</x:v>
      </x:c>
      <x:c r="C34" s="29" t="str">
        <x:v>Domain</x:v>
      </x:c>
      <x:c r="D34" s="29" t="str">
        <x:v>Recommendation</x:v>
      </x:c>
      <x:c r="E34" s="29" t="str">
        <x:v>Economic leverage</x:v>
      </x:c>
      <x:c r="F34" s="29" t="str">
        <x:v>Agent readiness</x:v>
      </x:c>
      <x:c r="G34" s="29" t="str">
        <x:v>Market gap</x:v>
      </x:c>
      <x:c r="H34" s="29" t="str">
        <x:v>Legal X</x:v>
      </x:c>
      <x:c r="I34" s="29" t="str">
        <x:v>Legal Y</x:v>
      </x:c>
      <x:c r="J34" s="29" t="str">
        <x:v>Other build X</x:v>
      </x:c>
      <x:c r="K34" s="29" t="str">
        <x:v>Other build Y</x:v>
      </x:c>
      <x:c r="L34" s="29" t="str">
        <x:v>Validate X</x:v>
      </x:c>
      <x:c r="M34" s="29" t="str">
        <x:v>Validate Y</x:v>
      </x:c>
      <x:c r="N34" s="29" t="str">
        <x:v>Monitor X</x:v>
      </x:c>
      <x:c r="O34" s="29" t="str">
        <x:v>Monitor Y</x:v>
      </x:c>
      <x:c r="Q34" s="14" t="str">
        <x:v>Domain options</x:v>
      </x:c>
      <x:c r="S34" s="14" t="str">
        <x:v>Global frontier task</x:v>
      </x:c>
      <x:c r="T34" s="14" t="str">
        <x:v>Economic leverage</x:v>
      </x:c>
      <x:c r="U34" s="14" t="str">
        <x:v>Agent readiness</x:v>
      </x:c>
    </x:row>
    <x:row r="35">
      <x:c r="A35" s="21" t="str">
        <x:f>'Task Matrix'!B5</x:f>
        <x:v>legal/legal_dr_fees_01</x:v>
      </x:c>
      <x:c r="B35" s="21" t="str">
        <x:f>'Task Matrix'!C5</x:f>
        <x:v>BAC Arbitration Fee Calculation</x:v>
      </x:c>
      <x:c r="C35" s="21" t="str">
        <x:f>'Task Matrix'!D5</x:f>
        <x:v>legal</x:v>
      </x:c>
      <x:c r="D35" s="21" t="str">
        <x:f>'Task Matrix'!AK5</x:f>
        <x:v>Build now</x:v>
      </x:c>
      <x:c r="E35" s="66" t="n">
        <x:f>'Task Matrix'!AF5</x:f>
        <x:v>82776.11470335998</x:v>
      </x:c>
      <x:c r="F35" s="67" t="n">
        <x:f>'Task Matrix'!V5</x:f>
        <x:v>92</x:v>
      </x:c>
      <x:c r="G35" s="67" t="n">
        <x:f>'Task Matrix'!Y5</x:f>
        <x:v>93</x:v>
      </x:c>
      <x:c r="H35" s="67" t="n">
        <x:f>IF(AND(OR($B$5="All domains",$B$5=C35),C35="legal"),E35,NA())</x:f>
        <x:v>82776.11470335998</x:v>
      </x:c>
      <x:c r="I35" s="67" t="n">
        <x:f>IF(AND(OR($B$5="All domains",$B$5=C35),C35="legal"),F35,NA())</x:f>
        <x:v>92</x:v>
      </x:c>
      <x:c r="J35" s="67" t="e">
        <x:f>IF(AND(OR($B$5="All domains",$B$5=C35),C35&lt;&gt;"legal",D35="Build now"),E35,NA())</x:f>
        <x:v>#N/A</x:v>
      </x:c>
      <x:c r="K35" s="67" t="e">
        <x:f>IF(AND(OR($B$5="All domains",$B$5=C35),C35&lt;&gt;"legal",D35="Build now"),F35,NA())</x:f>
        <x:v>#N/A</x:v>
      </x:c>
      <x:c r="L35" s="67" t="e">
        <x:f>IF(AND(OR($B$5="All domains",$B$5=C35),C35&lt;&gt;"legal",D35="Validate next"),E35,NA())</x:f>
        <x:v>#N/A</x:v>
      </x:c>
      <x:c r="M35" s="67" t="e">
        <x:f>IF(AND(OR($B$5="All domains",$B$5=C35),C35&lt;&gt;"legal",D35="Validate next"),F35,NA())</x:f>
        <x:v>#N/A</x:v>
      </x:c>
      <x:c r="N35" s="67" t="e">
        <x:f>IF(AND(OR($B$5="All domains",$B$5=C35),C35&lt;&gt;"legal",OR(D35="Partner or monitor",D35="Deprioritize")),E35,NA())</x:f>
        <x:v>#N/A</x:v>
      </x:c>
      <x:c r="O35" s="67" t="e">
        <x:f>IF(AND(OR($B$5="All domains",$B$5=C35),C35&lt;&gt;"legal",OR(D35="Partner or monitor",D35="Deprioritize")),F35,NA())</x:f>
        <x:v>#N/A</x:v>
      </x:c>
      <x:c r="Q35" t="str">
        <x:v>All domains</x:v>
      </x:c>
      <x:c r="S35" t="str">
        <x:v>BAC Arbitration Fee Calculation</x:v>
      </x:c>
      <x:c r="T35" s="66" t="n">
        <x:f>IF($B$5="All domains",INDEX($E$35:$E$187,MATCH(S35,$B$35:$B$187,0)),NA())</x:f>
        <x:v>82776.11470335998</x:v>
      </x:c>
      <x:c r="U35" t="n">
        <x:f>IF($B$5="All domains",INDEX($F$35:$F$187,MATCH(S35,$B$35:$B$187,0)),NA())</x:f>
        <x:v>92</x:v>
      </x:c>
    </x:row>
    <x:row r="36">
      <x:c r="A36" s="21" t="str">
        <x:f>'Task Matrix'!B6</x:f>
        <x:v>health_medicine/healthcare_bias_audit_27a_public_replication_v1</x:v>
      </x:c>
      <x:c r="B36" s="21" t="str">
        <x:f>'Task Matrix'!C6</x:f>
        <x:v>Public Synthetic Healthcare Bias Audit Replication</x:v>
      </x:c>
      <x:c r="C36" s="21" t="str">
        <x:f>'Task Matrix'!D6</x:f>
        <x:v>health_medicine</x:v>
      </x:c>
      <x:c r="D36" s="21" t="str">
        <x:f>'Task Matrix'!AK6</x:f>
        <x:v>Build now</x:v>
      </x:c>
      <x:c r="E36" s="66" t="n">
        <x:f>'Task Matrix'!AF6</x:f>
        <x:v>168784.48076799995</x:v>
      </x:c>
      <x:c r="F36" s="67" t="n">
        <x:f>'Task Matrix'!V6</x:f>
        <x:v>82</x:v>
      </x:c>
      <x:c r="G36" s="67" t="n">
        <x:f>'Task Matrix'!Y6</x:f>
        <x:v>88</x:v>
      </x:c>
      <x:c r="H36" s="67" t="e">
        <x:f>IF(AND(OR($B$5="All domains",$B$5=C36),C36="legal"),E36,NA())</x:f>
        <x:v>#N/A</x:v>
      </x:c>
      <x:c r="I36" s="67" t="e">
        <x:f>IF(AND(OR($B$5="All domains",$B$5=C36),C36="legal"),F36,NA())</x:f>
        <x:v>#N/A</x:v>
      </x:c>
      <x:c r="J36" s="67" t="n">
        <x:f>IF(AND(OR($B$5="All domains",$B$5=C36),C36&lt;&gt;"legal",D36="Build now"),E36,NA())</x:f>
        <x:v>168784.48076799995</x:v>
      </x:c>
      <x:c r="K36" s="67" t="n">
        <x:f>IF(AND(OR($B$5="All domains",$B$5=C36),C36&lt;&gt;"legal",D36="Build now"),F36,NA())</x:f>
        <x:v>82</x:v>
      </x:c>
      <x:c r="L36" s="67" t="e">
        <x:f>IF(AND(OR($B$5="All domains",$B$5=C36),C36&lt;&gt;"legal",D36="Validate next"),E36,NA())</x:f>
        <x:v>#N/A</x:v>
      </x:c>
      <x:c r="M36" s="67" t="e">
        <x:f>IF(AND(OR($B$5="All domains",$B$5=C36),C36&lt;&gt;"legal",D36="Validate next"),F36,NA())</x:f>
        <x:v>#N/A</x:v>
      </x:c>
      <x:c r="N36" s="67" t="e">
        <x:f>IF(AND(OR($B$5="All domains",$B$5=C36),C36&lt;&gt;"legal",OR(D36="Partner or monitor",D36="Deprioritize")),E36,NA())</x:f>
        <x:v>#N/A</x:v>
      </x:c>
      <x:c r="O36" s="67" t="e">
        <x:f>IF(AND(OR($B$5="All domains",$B$5=C36),C36&lt;&gt;"legal",OR(D36="Partner or monitor",D36="Deprioritize")),F36,NA())</x:f>
        <x:v>#N/A</x:v>
      </x:c>
      <x:c r="Q36" t="str">
        <x:v>agriculture_env</x:v>
      </x:c>
      <x:c r="S36" t="str">
        <x:v>Public Synthetic Healthcare Bias Audit Replication</x:v>
      </x:c>
      <x:c r="T36" s="66" t="n">
        <x:f>IF($B$5="All domains",INDEX($E$35:$E$187,MATCH(S36,$B$35:$B$187,0)),NA())</x:f>
        <x:v>168784.48076799995</x:v>
      </x:c>
      <x:c r="U36" t="n">
        <x:f>IF($B$5="All domains",INDEX($F$35:$F$187,MATCH(S36,$B$35:$B$187,0)),NA())</x:f>
        <x:v>82</x:v>
      </x:c>
    </x:row>
    <x:row r="37">
      <x:c r="A37" s="21" t="str">
        <x:f>'Task Matrix'!B7</x:f>
        <x:v>business_finance/llm_ecosystem_privacy_audit_realdata_1</x:v>
      </x:c>
      <x:c r="B37" s="21" t="str">
        <x:f>'Task Matrix'!C7</x:f>
        <x:v>GPT Actions Privacy &amp; Policy Audit</x:v>
      </x:c>
      <x:c r="C37" s="21" t="str">
        <x:f>'Task Matrix'!D7</x:f>
        <x:v>business_finance</x:v>
      </x:c>
      <x:c r="D37" s="21" t="str">
        <x:f>'Task Matrix'!AK7</x:f>
        <x:v>Build now</x:v>
      </x:c>
      <x:c r="E37" s="66" t="n">
        <x:f>'Task Matrix'!AF7</x:f>
        <x:v>93461.9245</x:v>
      </x:c>
      <x:c r="F37" s="67" t="n">
        <x:f>'Task Matrix'!V7</x:f>
        <x:v>66</x:v>
      </x:c>
      <x:c r="G37" s="67" t="n">
        <x:f>'Task Matrix'!Y7</x:f>
        <x:v>94</x:v>
      </x:c>
      <x:c r="H37" s="67" t="e">
        <x:f>IF(AND(OR($B$5="All domains",$B$5=C37),C37="legal"),E37,NA())</x:f>
        <x:v>#N/A</x:v>
      </x:c>
      <x:c r="I37" s="67" t="e">
        <x:f>IF(AND(OR($B$5="All domains",$B$5=C37),C37="legal"),F37,NA())</x:f>
        <x:v>#N/A</x:v>
      </x:c>
      <x:c r="J37" s="67" t="n">
        <x:f>IF(AND(OR($B$5="All domains",$B$5=C37),C37&lt;&gt;"legal",D37="Build now"),E37,NA())</x:f>
        <x:v>93461.9245</x:v>
      </x:c>
      <x:c r="K37" s="67" t="n">
        <x:f>IF(AND(OR($B$5="All domains",$B$5=C37),C37&lt;&gt;"legal",D37="Build now"),F37,NA())</x:f>
        <x:v>66</x:v>
      </x:c>
      <x:c r="L37" s="67" t="e">
        <x:f>IF(AND(OR($B$5="All domains",$B$5=C37),C37&lt;&gt;"legal",D37="Validate next"),E37,NA())</x:f>
        <x:v>#N/A</x:v>
      </x:c>
      <x:c r="M37" s="67" t="e">
        <x:f>IF(AND(OR($B$5="All domains",$B$5=C37),C37&lt;&gt;"legal",D37="Validate next"),F37,NA())</x:f>
        <x:v>#N/A</x:v>
      </x:c>
      <x:c r="N37" s="67" t="e">
        <x:f>IF(AND(OR($B$5="All domains",$B$5=C37),C37&lt;&gt;"legal",OR(D37="Partner or monitor",D37="Deprioritize")),E37,NA())</x:f>
        <x:v>#N/A</x:v>
      </x:c>
      <x:c r="O37" s="67" t="e">
        <x:f>IF(AND(OR($B$5="All domains",$B$5=C37),C37&lt;&gt;"legal",OR(D37="Partner or monitor",D37="Deprioritize")),F37,NA())</x:f>
        <x:v>#N/A</x:v>
      </x:c>
      <x:c r="Q37" t="str">
        <x:v>business_finance</x:v>
      </x:c>
      <x:c r="S37" t="str">
        <x:v>Build A Pinned Clinical Variant Annotation Table</x:v>
      </x:c>
      <x:c r="T37" s="66" t="n">
        <x:f>IF($B$5="All domains",INDEX($E$35:$E$187,MATCH(S37,$B$35:$B$187,0)),NA())</x:f>
        <x:v>380043.933952</x:v>
      </x:c>
      <x:c r="U37" t="n">
        <x:f>IF($B$5="All domains",INDEX($F$35:$F$187,MATCH(S37,$B$35:$B$187,0)),NA())</x:f>
        <x:v>72</x:v>
      </x:c>
    </x:row>
    <x:row r="38">
      <x:c r="A38" s="21" t="str">
        <x:f>'Task Matrix'!B8</x:f>
        <x:v>physical_sciences/qm9_mmff94_forcefield_survey_1</x:v>
      </x:c>
      <x:c r="B38" s="21" t="str">
        <x:f>'Task Matrix'!C8</x:f>
        <x:v>QM9 MMFF94 Force-Field Failure Survey</x:v>
      </x:c>
      <x:c r="C38" s="21" t="str">
        <x:f>'Task Matrix'!D8</x:f>
        <x:v>physical_sciences</x:v>
      </x:c>
      <x:c r="D38" s="21" t="str">
        <x:f>'Task Matrix'!AK8</x:f>
        <x:v>Build now</x:v>
      </x:c>
      <x:c r="E38" s="66" t="n">
        <x:f>'Task Matrix'!AF8</x:f>
        <x:v>70278.99579999999</x:v>
      </x:c>
      <x:c r="F38" s="67" t="n">
        <x:f>'Task Matrix'!V8</x:f>
        <x:v>82</x:v>
      </x:c>
      <x:c r="G38" s="67" t="n">
        <x:f>'Task Matrix'!Y8</x:f>
        <x:v>80</x:v>
      </x:c>
      <x:c r="H38" s="67" t="e">
        <x:f>IF(AND(OR($B$5="All domains",$B$5=C38),C38="legal"),E38,NA())</x:f>
        <x:v>#N/A</x:v>
      </x:c>
      <x:c r="I38" s="67" t="e">
        <x:f>IF(AND(OR($B$5="All domains",$B$5=C38),C38="legal"),F38,NA())</x:f>
        <x:v>#N/A</x:v>
      </x:c>
      <x:c r="J38" s="67" t="n">
        <x:f>IF(AND(OR($B$5="All domains",$B$5=C38),C38&lt;&gt;"legal",D38="Build now"),E38,NA())</x:f>
        <x:v>70278.99579999999</x:v>
      </x:c>
      <x:c r="K38" s="67" t="n">
        <x:f>IF(AND(OR($B$5="All domains",$B$5=C38),C38&lt;&gt;"legal",D38="Build now"),F38,NA())</x:f>
        <x:v>82</x:v>
      </x:c>
      <x:c r="L38" s="67" t="e">
        <x:f>IF(AND(OR($B$5="All domains",$B$5=C38),C38&lt;&gt;"legal",D38="Validate next"),E38,NA())</x:f>
        <x:v>#N/A</x:v>
      </x:c>
      <x:c r="M38" s="67" t="e">
        <x:f>IF(AND(OR($B$5="All domains",$B$5=C38),C38&lt;&gt;"legal",D38="Validate next"),F38,NA())</x:f>
        <x:v>#N/A</x:v>
      </x:c>
      <x:c r="N38" s="67" t="e">
        <x:f>IF(AND(OR($B$5="All domains",$B$5=C38),C38&lt;&gt;"legal",OR(D38="Partner or monitor",D38="Deprioritize")),E38,NA())</x:f>
        <x:v>#N/A</x:v>
      </x:c>
      <x:c r="O38" s="67" t="e">
        <x:f>IF(AND(OR($B$5="All domains",$B$5=C38),C38&lt;&gt;"legal",OR(D38="Partner or monitor",D38="Deprioritize")),F38,NA())</x:f>
        <x:v>#N/A</x:v>
      </x:c>
      <x:c r="Q38" t="str">
        <x:v>computing_math</x:v>
      </x:c>
    </x:row>
    <x:row r="39">
      <x:c r="A39" s="21" t="str">
        <x:f>'Task Matrix'!B9</x:f>
        <x:v>transport_safety/fds_single_compartment_detector_reconstruction</x:v>
      </x:c>
      <x:c r="B39" s="21" t="str">
        <x:f>'Task Matrix'!C9</x:f>
        <x:v>FDS Single-Compartment Detector Reconstruction</x:v>
      </x:c>
      <x:c r="C39" s="21" t="str">
        <x:f>'Task Matrix'!D9</x:f>
        <x:v>transport_safety</x:v>
      </x:c>
      <x:c r="D39" s="21" t="str">
        <x:f>'Task Matrix'!AK9</x:f>
        <x:v>Build now</x:v>
      </x:c>
      <x:c r="E39" s="66" t="n">
        <x:f>'Task Matrix'!AF9</x:f>
        <x:v>116546.29172991995</x:v>
      </x:c>
      <x:c r="F39" s="67" t="n">
        <x:f>'Task Matrix'!V9</x:f>
        <x:v>82</x:v>
      </x:c>
      <x:c r="G39" s="67" t="n">
        <x:f>'Task Matrix'!Y9</x:f>
        <x:v>80</x:v>
      </x:c>
      <x:c r="H39" s="67" t="e">
        <x:f>IF(AND(OR($B$5="All domains",$B$5=C39),C39="legal"),E39,NA())</x:f>
        <x:v>#N/A</x:v>
      </x:c>
      <x:c r="I39" s="67" t="e">
        <x:f>IF(AND(OR($B$5="All domains",$B$5=C39),C39="legal"),F39,NA())</x:f>
        <x:v>#N/A</x:v>
      </x:c>
      <x:c r="J39" s="67" t="n">
        <x:f>IF(AND(OR($B$5="All domains",$B$5=C39),C39&lt;&gt;"legal",D39="Build now"),E39,NA())</x:f>
        <x:v>116546.29172991995</x:v>
      </x:c>
      <x:c r="K39" s="67" t="n">
        <x:f>IF(AND(OR($B$5="All domains",$B$5=C39),C39&lt;&gt;"legal",D39="Build now"),F39,NA())</x:f>
        <x:v>82</x:v>
      </x:c>
      <x:c r="L39" s="67" t="e">
        <x:f>IF(AND(OR($B$5="All domains",$B$5=C39),C39&lt;&gt;"legal",D39="Validate next"),E39,NA())</x:f>
        <x:v>#N/A</x:v>
      </x:c>
      <x:c r="M39" s="67" t="e">
        <x:f>IF(AND(OR($B$5="All domains",$B$5=C39),C39&lt;&gt;"legal",D39="Validate next"),F39,NA())</x:f>
        <x:v>#N/A</x:v>
      </x:c>
      <x:c r="N39" s="67" t="e">
        <x:f>IF(AND(OR($B$5="All domains",$B$5=C39),C39&lt;&gt;"legal",OR(D39="Partner or monitor",D39="Deprioritize")),E39,NA())</x:f>
        <x:v>#N/A</x:v>
      </x:c>
      <x:c r="O39" s="67" t="e">
        <x:f>IF(AND(OR($B$5="All domains",$B$5=C39),C39&lt;&gt;"legal",OR(D39="Partner or monitor",D39="Deprioritize")),F39,NA())</x:f>
        <x:v>#N/A</x:v>
      </x:c>
      <x:c r="Q39" t="str">
        <x:v>education_info</x:v>
      </x:c>
    </x:row>
    <x:row r="40">
      <x:c r="A40" s="21" t="str">
        <x:f>'Task Matrix'!B10</x:f>
        <x:v>computing_math/k3_abelian_extensions</x:v>
      </x:c>
      <x:c r="B40" s="21" t="str">
        <x:f>'Task Matrix'!C10</x:f>
        <x:v>Finite Abelian Extension Classification</x:v>
      </x:c>
      <x:c r="C40" s="21" t="str">
        <x:f>'Task Matrix'!D10</x:f>
        <x:v>computing_math</x:v>
      </x:c>
      <x:c r="D40" s="21" t="str">
        <x:f>'Task Matrix'!AK10</x:f>
        <x:v>Build now</x:v>
      </x:c>
      <x:c r="E40" s="66" t="n">
        <x:f>'Task Matrix'!AF10</x:f>
        <x:v>56265.9318208</x:v>
      </x:c>
      <x:c r="F40" s="67" t="n">
        <x:f>'Task Matrix'!V10</x:f>
        <x:v>82</x:v>
      </x:c>
      <x:c r="G40" s="67" t="n">
        <x:f>'Task Matrix'!Y10</x:f>
        <x:v>80</x:v>
      </x:c>
      <x:c r="H40" s="67" t="e">
        <x:f>IF(AND(OR($B$5="All domains",$B$5=C40),C40="legal"),E40,NA())</x:f>
        <x:v>#N/A</x:v>
      </x:c>
      <x:c r="I40" s="67" t="e">
        <x:f>IF(AND(OR($B$5="All domains",$B$5=C40),C40="legal"),F40,NA())</x:f>
        <x:v>#N/A</x:v>
      </x:c>
      <x:c r="J40" s="67" t="n">
        <x:f>IF(AND(OR($B$5="All domains",$B$5=C40),C40&lt;&gt;"legal",D40="Build now"),E40,NA())</x:f>
        <x:v>56265.9318208</x:v>
      </x:c>
      <x:c r="K40" s="67" t="n">
        <x:f>IF(AND(OR($B$5="All domains",$B$5=C40),C40&lt;&gt;"legal",D40="Build now"),F40,NA())</x:f>
        <x:v>82</x:v>
      </x:c>
      <x:c r="L40" s="67" t="e">
        <x:f>IF(AND(OR($B$5="All domains",$B$5=C40),C40&lt;&gt;"legal",D40="Validate next"),E40,NA())</x:f>
        <x:v>#N/A</x:v>
      </x:c>
      <x:c r="M40" s="67" t="e">
        <x:f>IF(AND(OR($B$5="All domains",$B$5=C40),C40&lt;&gt;"legal",D40="Validate next"),F40,NA())</x:f>
        <x:v>#N/A</x:v>
      </x:c>
      <x:c r="N40" s="67" t="e">
        <x:f>IF(AND(OR($B$5="All domains",$B$5=C40),C40&lt;&gt;"legal",OR(D40="Partner or monitor",D40="Deprioritize")),E40,NA())</x:f>
        <x:v>#N/A</x:v>
      </x:c>
      <x:c r="O40" s="67" t="e">
        <x:f>IF(AND(OR($B$5="All domains",$B$5=C40),C40&lt;&gt;"legal",OR(D40="Partner or monitor",D40="Deprioritize")),F40,NA())</x:f>
        <x:v>#N/A</x:v>
      </x:c>
      <x:c r="Q40" t="str">
        <x:v>engineering</x:v>
      </x:c>
    </x:row>
    <x:row r="41">
      <x:c r="A41" s="21" t="str">
        <x:f>'Task Matrix'!B11</x:f>
        <x:v>computing_math/pcap_enterprise_triage_01</x:v>
      </x:c>
      <x:c r="B41" s="21" t="str">
        <x:f>'Task Matrix'!C11</x:f>
        <x:v>Enterprise PCAP Triage In Wireshark</x:v>
      </x:c>
      <x:c r="C41" s="21" t="str">
        <x:f>'Task Matrix'!D11</x:f>
        <x:v>computing_math</x:v>
      </x:c>
      <x:c r="D41" s="21" t="str">
        <x:f>'Task Matrix'!AK11</x:f>
        <x:v>Build now</x:v>
      </x:c>
      <x:c r="E41" s="66" t="n">
        <x:f>'Task Matrix'!AF11</x:f>
        <x:v>77610.86115328</x:v>
      </x:c>
      <x:c r="F41" s="67" t="n">
        <x:f>'Task Matrix'!V11</x:f>
        <x:v>82</x:v>
      </x:c>
      <x:c r="G41" s="67" t="n">
        <x:f>'Task Matrix'!Y11</x:f>
        <x:v>80</x:v>
      </x:c>
      <x:c r="H41" s="67" t="e">
        <x:f>IF(AND(OR($B$5="All domains",$B$5=C41),C41="legal"),E41,NA())</x:f>
        <x:v>#N/A</x:v>
      </x:c>
      <x:c r="I41" s="67" t="e">
        <x:f>IF(AND(OR($B$5="All domains",$B$5=C41),C41="legal"),F41,NA())</x:f>
        <x:v>#N/A</x:v>
      </x:c>
      <x:c r="J41" s="67" t="n">
        <x:f>IF(AND(OR($B$5="All domains",$B$5=C41),C41&lt;&gt;"legal",D41="Build now"),E41,NA())</x:f>
        <x:v>77610.86115328</x:v>
      </x:c>
      <x:c r="K41" s="67" t="n">
        <x:f>IF(AND(OR($B$5="All domains",$B$5=C41),C41&lt;&gt;"legal",D41="Build now"),F41,NA())</x:f>
        <x:v>82</x:v>
      </x:c>
      <x:c r="L41" s="67" t="e">
        <x:f>IF(AND(OR($B$5="All domains",$B$5=C41),C41&lt;&gt;"legal",D41="Validate next"),E41,NA())</x:f>
        <x:v>#N/A</x:v>
      </x:c>
      <x:c r="M41" s="67" t="e">
        <x:f>IF(AND(OR($B$5="All domains",$B$5=C41),C41&lt;&gt;"legal",D41="Validate next"),F41,NA())</x:f>
        <x:v>#N/A</x:v>
      </x:c>
      <x:c r="N41" s="67" t="e">
        <x:f>IF(AND(OR($B$5="All domains",$B$5=C41),C41&lt;&gt;"legal",OR(D41="Partner or monitor",D41="Deprioritize")),E41,NA())</x:f>
        <x:v>#N/A</x:v>
      </x:c>
      <x:c r="O41" s="67" t="e">
        <x:f>IF(AND(OR($B$5="All domains",$B$5=C41),C41&lt;&gt;"legal",OR(D41="Partner or monitor",D41="Deprioritize")),F41,NA())</x:f>
        <x:v>#N/A</x:v>
      </x:c>
      <x:c r="Q41" t="str">
        <x:v>health_medicine</x:v>
      </x:c>
    </x:row>
    <x:row r="42">
      <x:c r="A42" s="21" t="str">
        <x:f>'Task Matrix'!B12</x:f>
        <x:v>life_sciences/amber_three_stage_mmgbsa_workflow_instance_1</x:v>
      </x:c>
      <x:c r="B42" s="21" t="str">
        <x:f>'Task Matrix'!C12</x:f>
        <x:v>Amber Three-Stage MMGBSA Workflow Authoring</x:v>
      </x:c>
      <x:c r="C42" s="21" t="str">
        <x:f>'Task Matrix'!D12</x:f>
        <x:v>life_sciences</x:v>
      </x:c>
      <x:c r="D42" s="21" t="str">
        <x:f>'Task Matrix'!AK12</x:f>
        <x:v>Build now</x:v>
      </x:c>
      <x:c r="E42" s="66" t="n">
        <x:f>'Task Matrix'!AF12</x:f>
        <x:v>88895.8252</x:v>
      </x:c>
      <x:c r="F42" s="67" t="n">
        <x:f>'Task Matrix'!V12</x:f>
        <x:v>72</x:v>
      </x:c>
      <x:c r="G42" s="67" t="n">
        <x:f>'Task Matrix'!Y12</x:f>
        <x:v>76</x:v>
      </x:c>
      <x:c r="H42" s="67" t="e">
        <x:f>IF(AND(OR($B$5="All domains",$B$5=C42),C42="legal"),E42,NA())</x:f>
        <x:v>#N/A</x:v>
      </x:c>
      <x:c r="I42" s="67" t="e">
        <x:f>IF(AND(OR($B$5="All domains",$B$5=C42),C42="legal"),F42,NA())</x:f>
        <x:v>#N/A</x:v>
      </x:c>
      <x:c r="J42" s="67" t="n">
        <x:f>IF(AND(OR($B$5="All domains",$B$5=C42),C42&lt;&gt;"legal",D42="Build now"),E42,NA())</x:f>
        <x:v>88895.8252</x:v>
      </x:c>
      <x:c r="K42" s="67" t="n">
        <x:f>IF(AND(OR($B$5="All domains",$B$5=C42),C42&lt;&gt;"legal",D42="Build now"),F42,NA())</x:f>
        <x:v>72</x:v>
      </x:c>
      <x:c r="L42" s="67" t="e">
        <x:f>IF(AND(OR($B$5="All domains",$B$5=C42),C42&lt;&gt;"legal",D42="Validate next"),E42,NA())</x:f>
        <x:v>#N/A</x:v>
      </x:c>
      <x:c r="M42" s="67" t="e">
        <x:f>IF(AND(OR($B$5="All domains",$B$5=C42),C42&lt;&gt;"legal",D42="Validate next"),F42,NA())</x:f>
        <x:v>#N/A</x:v>
      </x:c>
      <x:c r="N42" s="67" t="e">
        <x:f>IF(AND(OR($B$5="All domains",$B$5=C42),C42&lt;&gt;"legal",OR(D42="Partner or monitor",D42="Deprioritize")),E42,NA())</x:f>
        <x:v>#N/A</x:v>
      </x:c>
      <x:c r="O42" s="67" t="e">
        <x:f>IF(AND(OR($B$5="All domains",$B$5=C42),C42&lt;&gt;"legal",OR(D42="Partner or monitor",D42="Deprioritize")),F42,NA())</x:f>
        <x:v>#N/A</x:v>
      </x:c>
      <x:c r="Q42" t="str">
        <x:v>legal</x:v>
      </x:c>
    </x:row>
    <x:row r="43">
      <x:c r="A43" s="21" t="str">
        <x:f>'Task Matrix'!B13</x:f>
        <x:v>life_sciences/rgi_mcr1_colistin_v2</x:v>
      </x:c>
      <x:c r="B43" s="21" t="str">
        <x:f>'Task Matrix'!C13</x:f>
        <x:v>RGI Contig Resistance Annotation</x:v>
      </x:c>
      <x:c r="C43" s="21" t="str">
        <x:f>'Task Matrix'!D13</x:f>
        <x:v>life_sciences</x:v>
      </x:c>
      <x:c r="D43" s="21" t="str">
        <x:f>'Task Matrix'!AK13</x:f>
        <x:v>Build now</x:v>
      </x:c>
      <x:c r="E43" s="66" t="n">
        <x:f>'Task Matrix'!AF13</x:f>
        <x:v>52644.24684999999</x:v>
      </x:c>
      <x:c r="F43" s="67" t="n">
        <x:f>'Task Matrix'!V13</x:f>
        <x:v>82</x:v>
      </x:c>
      <x:c r="G43" s="67" t="n">
        <x:f>'Task Matrix'!Y13</x:f>
        <x:v>80</x:v>
      </x:c>
      <x:c r="H43" s="67" t="e">
        <x:f>IF(AND(OR($B$5="All domains",$B$5=C43),C43="legal"),E43,NA())</x:f>
        <x:v>#N/A</x:v>
      </x:c>
      <x:c r="I43" s="67" t="e">
        <x:f>IF(AND(OR($B$5="All domains",$B$5=C43),C43="legal"),F43,NA())</x:f>
        <x:v>#N/A</x:v>
      </x:c>
      <x:c r="J43" s="67" t="n">
        <x:f>IF(AND(OR($B$5="All domains",$B$5=C43),C43&lt;&gt;"legal",D43="Build now"),E43,NA())</x:f>
        <x:v>52644.24684999999</x:v>
      </x:c>
      <x:c r="K43" s="67" t="n">
        <x:f>IF(AND(OR($B$5="All domains",$B$5=C43),C43&lt;&gt;"legal",D43="Build now"),F43,NA())</x:f>
        <x:v>82</x:v>
      </x:c>
      <x:c r="L43" s="67" t="e">
        <x:f>IF(AND(OR($B$5="All domains",$B$5=C43),C43&lt;&gt;"legal",D43="Validate next"),E43,NA())</x:f>
        <x:v>#N/A</x:v>
      </x:c>
      <x:c r="M43" s="67" t="e">
        <x:f>IF(AND(OR($B$5="All domains",$B$5=C43),C43&lt;&gt;"legal",D43="Validate next"),F43,NA())</x:f>
        <x:v>#N/A</x:v>
      </x:c>
      <x:c r="N43" s="67" t="e">
        <x:f>IF(AND(OR($B$5="All domains",$B$5=C43),C43&lt;&gt;"legal",OR(D43="Partner or monitor",D43="Deprioritize")),E43,NA())</x:f>
        <x:v>#N/A</x:v>
      </x:c>
      <x:c r="O43" s="67" t="e">
        <x:f>IF(AND(OR($B$5="All domains",$B$5=C43),C43&lt;&gt;"legal",OR(D43="Partner or monitor",D43="Deprioritize")),F43,NA())</x:f>
        <x:v>#N/A</x:v>
      </x:c>
      <x:c r="Q43" t="str">
        <x:v>life_sciences</x:v>
      </x:c>
    </x:row>
    <x:row r="44">
      <x:c r="A44" s="21" t="str">
        <x:f>'Task Matrix'!B14</x:f>
        <x:v>legal/agora_governance_classify_instance_1</x:v>
      </x:c>
      <x:c r="B44" s="21" t="str">
        <x:f>'Task Matrix'!C14</x:f>
        <x:v>AGORA AI Governance Document Classification</x:v>
      </x:c>
      <x:c r="C44" s="21" t="str">
        <x:f>'Task Matrix'!D14</x:f>
        <x:v>legal</x:v>
      </x:c>
      <x:c r="D44" s="21" t="str">
        <x:f>'Task Matrix'!AK14</x:f>
        <x:v>Build now</x:v>
      </x:c>
      <x:c r="E44" s="66" t="n">
        <x:f>'Task Matrix'!AF14</x:f>
        <x:v>70839.48192255998</x:v>
      </x:c>
      <x:c r="F44" s="67" t="n">
        <x:f>'Task Matrix'!V14</x:f>
        <x:v>82</x:v>
      </x:c>
      <x:c r="G44" s="67" t="n">
        <x:f>'Task Matrix'!Y14</x:f>
        <x:v>85</x:v>
      </x:c>
      <x:c r="H44" s="67" t="n">
        <x:f>IF(AND(OR($B$5="All domains",$B$5=C44),C44="legal"),E44,NA())</x:f>
        <x:v>70839.48192255998</x:v>
      </x:c>
      <x:c r="I44" s="67" t="n">
        <x:f>IF(AND(OR($B$5="All domains",$B$5=C44),C44="legal"),F44,NA())</x:f>
        <x:v>82</x:v>
      </x:c>
      <x:c r="J44" s="67" t="e">
        <x:f>IF(AND(OR($B$5="All domains",$B$5=C44),C44&lt;&gt;"legal",D44="Build now"),E44,NA())</x:f>
        <x:v>#N/A</x:v>
      </x:c>
      <x:c r="K44" s="67" t="e">
        <x:f>IF(AND(OR($B$5="All domains",$B$5=C44),C44&lt;&gt;"legal",D44="Build now"),F44,NA())</x:f>
        <x:v>#N/A</x:v>
      </x:c>
      <x:c r="L44" s="67" t="e">
        <x:f>IF(AND(OR($B$5="All domains",$B$5=C44),C44&lt;&gt;"legal",D44="Validate next"),E44,NA())</x:f>
        <x:v>#N/A</x:v>
      </x:c>
      <x:c r="M44" s="67" t="e">
        <x:f>IF(AND(OR($B$5="All domains",$B$5=C44),C44&lt;&gt;"legal",D44="Validate next"),F44,NA())</x:f>
        <x:v>#N/A</x:v>
      </x:c>
      <x:c r="N44" s="67" t="e">
        <x:f>IF(AND(OR($B$5="All domains",$B$5=C44),C44&lt;&gt;"legal",OR(D44="Partner or monitor",D44="Deprioritize")),E44,NA())</x:f>
        <x:v>#N/A</x:v>
      </x:c>
      <x:c r="O44" s="67" t="e">
        <x:f>IF(AND(OR($B$5="All domains",$B$5=C44),C44&lt;&gt;"legal",OR(D44="Partner or monitor",D44="Deprioritize")),F44,NA())</x:f>
        <x:v>#N/A</x:v>
      </x:c>
      <x:c r="Q44" t="str">
        <x:v>other</x:v>
      </x:c>
    </x:row>
    <x:row r="45">
      <x:c r="A45" s="21" t="str">
        <x:f>'Task Matrix'!B15</x:f>
        <x:v>business_finance/taxform_4_1</x:v>
      </x:c>
      <x:c r="B45" s="21" t="str">
        <x:f>'Task Matrix'!C15</x:f>
        <x:v>Taxform 4 1</x:v>
      </x:c>
      <x:c r="C45" s="21" t="str">
        <x:f>'Task Matrix'!D15</x:f>
        <x:v>business_finance</x:v>
      </x:c>
      <x:c r="D45" s="21" t="str">
        <x:f>'Task Matrix'!AK15</x:f>
        <x:v>Build now</x:v>
      </x:c>
      <x:c r="E45" s="66" t="n">
        <x:f>'Task Matrix'!AF15</x:f>
        <x:v>69905.39061375998</x:v>
      </x:c>
      <x:c r="F45" s="67" t="n">
        <x:f>'Task Matrix'!V15</x:f>
        <x:v>82</x:v>
      </x:c>
      <x:c r="G45" s="67" t="n">
        <x:f>'Task Matrix'!Y15</x:f>
        <x:v>80</x:v>
      </x:c>
      <x:c r="H45" s="67" t="e">
        <x:f>IF(AND(OR($B$5="All domains",$B$5=C45),C45="legal"),E45,NA())</x:f>
        <x:v>#N/A</x:v>
      </x:c>
      <x:c r="I45" s="67" t="e">
        <x:f>IF(AND(OR($B$5="All domains",$B$5=C45),C45="legal"),F45,NA())</x:f>
        <x:v>#N/A</x:v>
      </x:c>
      <x:c r="J45" s="67" t="n">
        <x:f>IF(AND(OR($B$5="All domains",$B$5=C45),C45&lt;&gt;"legal",D45="Build now"),E45,NA())</x:f>
        <x:v>69905.39061375998</x:v>
      </x:c>
      <x:c r="K45" s="67" t="n">
        <x:f>IF(AND(OR($B$5="All domains",$B$5=C45),C45&lt;&gt;"legal",D45="Build now"),F45,NA())</x:f>
        <x:v>82</x:v>
      </x:c>
      <x:c r="L45" s="67" t="e">
        <x:f>IF(AND(OR($B$5="All domains",$B$5=C45),C45&lt;&gt;"legal",D45="Validate next"),E45,NA())</x:f>
        <x:v>#N/A</x:v>
      </x:c>
      <x:c r="M45" s="67" t="e">
        <x:f>IF(AND(OR($B$5="All domains",$B$5=C45),C45&lt;&gt;"legal",D45="Validate next"),F45,NA())</x:f>
        <x:v>#N/A</x:v>
      </x:c>
      <x:c r="N45" s="67" t="e">
        <x:f>IF(AND(OR($B$5="All domains",$B$5=C45),C45&lt;&gt;"legal",OR(D45="Partner or monitor",D45="Deprioritize")),E45,NA())</x:f>
        <x:v>#N/A</x:v>
      </x:c>
      <x:c r="O45" s="67" t="e">
        <x:f>IF(AND(OR($B$5="All domains",$B$5=C45),C45&lt;&gt;"legal",OR(D45="Partner or monitor",D45="Deprioritize")),F45,NA())</x:f>
        <x:v>#N/A</x:v>
      </x:c>
      <x:c r="Q45" t="str">
        <x:v>physical_sciences</x:v>
      </x:c>
    </x:row>
    <x:row r="46">
      <x:c r="A46" s="21" t="str">
        <x:f>'Task Matrix'!B16</x:f>
        <x:v>business_finance/sse_northbound_programmatic_trading_01</x:v>
      </x:c>
      <x:c r="B46" s="21" t="str">
        <x:f>'Task Matrix'!C16</x:f>
        <x:v>SSE Northbound Programmatic Trading Research</x:v>
      </x:c>
      <x:c r="C46" s="21" t="str">
        <x:f>'Task Matrix'!D16</x:f>
        <x:v>business_finance</x:v>
      </x:c>
      <x:c r="D46" s="21" t="str">
        <x:f>'Task Matrix'!AK16</x:f>
        <x:v>Build now</x:v>
      </x:c>
      <x:c r="E46" s="66" t="n">
        <x:f>'Task Matrix'!AF16</x:f>
        <x:v>50307.81674495999</x:v>
      </x:c>
      <x:c r="F46" s="67" t="n">
        <x:f>'Task Matrix'!V16</x:f>
        <x:v>92</x:v>
      </x:c>
      <x:c r="G46" s="67" t="n">
        <x:f>'Task Matrix'!Y16</x:f>
        <x:v>88</x:v>
      </x:c>
      <x:c r="H46" s="67" t="e">
        <x:f>IF(AND(OR($B$5="All domains",$B$5=C46),C46="legal"),E46,NA())</x:f>
        <x:v>#N/A</x:v>
      </x:c>
      <x:c r="I46" s="67" t="e">
        <x:f>IF(AND(OR($B$5="All domains",$B$5=C46),C46="legal"),F46,NA())</x:f>
        <x:v>#N/A</x:v>
      </x:c>
      <x:c r="J46" s="67" t="n">
        <x:f>IF(AND(OR($B$5="All domains",$B$5=C46),C46&lt;&gt;"legal",D46="Build now"),E46,NA())</x:f>
        <x:v>50307.81674495999</x:v>
      </x:c>
      <x:c r="K46" s="67" t="n">
        <x:f>IF(AND(OR($B$5="All domains",$B$5=C46),C46&lt;&gt;"legal",D46="Build now"),F46,NA())</x:f>
        <x:v>92</x:v>
      </x:c>
      <x:c r="L46" s="67" t="e">
        <x:f>IF(AND(OR($B$5="All domains",$B$5=C46),C46&lt;&gt;"legal",D46="Validate next"),E46,NA())</x:f>
        <x:v>#N/A</x:v>
      </x:c>
      <x:c r="M46" s="67" t="e">
        <x:f>IF(AND(OR($B$5="All domains",$B$5=C46),C46&lt;&gt;"legal",D46="Validate next"),F46,NA())</x:f>
        <x:v>#N/A</x:v>
      </x:c>
      <x:c r="N46" s="67" t="e">
        <x:f>IF(AND(OR($B$5="All domains",$B$5=C46),C46&lt;&gt;"legal",OR(D46="Partner or monitor",D46="Deprioritize")),E46,NA())</x:f>
        <x:v>#N/A</x:v>
      </x:c>
      <x:c r="O46" s="67" t="e">
        <x:f>IF(AND(OR($B$5="All domains",$B$5=C46),C46&lt;&gt;"legal",OR(D46="Partner or monitor",D46="Deprioritize")),F46,NA())</x:f>
        <x:v>#N/A</x:v>
      </x:c>
      <x:c r="Q46" t="str">
        <x:v>psychology_neuro</x:v>
      </x:c>
    </x:row>
    <x:row r="47">
      <x:c r="A47" s="21" t="str">
        <x:f>'Task Matrix'!B17</x:f>
        <x:v>health_medicine/healthcare_sap_group_sequential_nsclc</x:v>
      </x:c>
      <x:c r="B47" s="21" t="str">
        <x:f>'Task Matrix'!C17</x:f>
        <x:v>NSCLC Group-Sequential SAP</x:v>
      </x:c>
      <x:c r="C47" s="21" t="str">
        <x:f>'Task Matrix'!D17</x:f>
        <x:v>health_medicine</x:v>
      </x:c>
      <x:c r="D47" s="21" t="str">
        <x:f>'Task Matrix'!AK17</x:f>
        <x:v>Build now</x:v>
      </x:c>
      <x:c r="E47" s="66" t="n">
        <x:f>'Task Matrix'!AF17</x:f>
        <x:v>60822.41307647999</x:v>
      </x:c>
      <x:c r="F47" s="67" t="n">
        <x:f>'Task Matrix'!V17</x:f>
        <x:v>82</x:v>
      </x:c>
      <x:c r="G47" s="67" t="n">
        <x:f>'Task Matrix'!Y17</x:f>
        <x:v>88</x:v>
      </x:c>
      <x:c r="H47" s="67" t="e">
        <x:f>IF(AND(OR($B$5="All domains",$B$5=C47),C47="legal"),E47,NA())</x:f>
        <x:v>#N/A</x:v>
      </x:c>
      <x:c r="I47" s="67" t="e">
        <x:f>IF(AND(OR($B$5="All domains",$B$5=C47),C47="legal"),F47,NA())</x:f>
        <x:v>#N/A</x:v>
      </x:c>
      <x:c r="J47" s="67" t="n">
        <x:f>IF(AND(OR($B$5="All domains",$B$5=C47),C47&lt;&gt;"legal",D47="Build now"),E47,NA())</x:f>
        <x:v>60822.41307647999</x:v>
      </x:c>
      <x:c r="K47" s="67" t="n">
        <x:f>IF(AND(OR($B$5="All domains",$B$5=C47),C47&lt;&gt;"legal",D47="Build now"),F47,NA())</x:f>
        <x:v>82</x:v>
      </x:c>
      <x:c r="L47" s="67" t="e">
        <x:f>IF(AND(OR($B$5="All domains",$B$5=C47),C47&lt;&gt;"legal",D47="Validate next"),E47,NA())</x:f>
        <x:v>#N/A</x:v>
      </x:c>
      <x:c r="M47" s="67" t="e">
        <x:f>IF(AND(OR($B$5="All domains",$B$5=C47),C47&lt;&gt;"legal",D47="Validate next"),F47,NA())</x:f>
        <x:v>#N/A</x:v>
      </x:c>
      <x:c r="N47" s="67" t="e">
        <x:f>IF(AND(OR($B$5="All domains",$B$5=C47),C47&lt;&gt;"legal",OR(D47="Partner or monitor",D47="Deprioritize")),E47,NA())</x:f>
        <x:v>#N/A</x:v>
      </x:c>
      <x:c r="O47" s="67" t="e">
        <x:f>IF(AND(OR($B$5="All domains",$B$5=C47),C47&lt;&gt;"legal",OR(D47="Partner or monitor",D47="Deprioritize")),F47,NA())</x:f>
        <x:v>#N/A</x:v>
      </x:c>
      <x:c r="Q47" t="str">
        <x:v>social_sciences</x:v>
      </x:c>
    </x:row>
    <x:row r="48">
      <x:c r="A48" s="21" t="str">
        <x:f>'Task Matrix'!B18</x:f>
        <x:v>education_info/homework_grading_numerical_pdes_instance_02</x:v>
      </x:c>
      <x:c r="B48" s="21" t="str">
        <x:f>'Task Matrix'!C18</x:f>
        <x:v>Homework Grading Numerical PDEs 02</x:v>
      </x:c>
      <x:c r="C48" s="21" t="str">
        <x:f>'Task Matrix'!D18</x:f>
        <x:v>education_info</x:v>
      </x:c>
      <x:c r="D48" s="21" t="str">
        <x:f>'Task Matrix'!AK18</x:f>
        <x:v>Build now</x:v>
      </x:c>
      <x:c r="E48" s="66" t="n">
        <x:f>'Task Matrix'!AF18</x:f>
        <x:v>48892.98419199999</x:v>
      </x:c>
      <x:c r="F48" s="67" t="n">
        <x:f>'Task Matrix'!V18</x:f>
        <x:v>82</x:v>
      </x:c>
      <x:c r="G48" s="67" t="n">
        <x:f>'Task Matrix'!Y18</x:f>
        <x:v>80</x:v>
      </x:c>
      <x:c r="H48" s="67" t="e">
        <x:f>IF(AND(OR($B$5="All domains",$B$5=C48),C48="legal"),E48,NA())</x:f>
        <x:v>#N/A</x:v>
      </x:c>
      <x:c r="I48" s="67" t="e">
        <x:f>IF(AND(OR($B$5="All domains",$B$5=C48),C48="legal"),F48,NA())</x:f>
        <x:v>#N/A</x:v>
      </x:c>
      <x:c r="J48" s="67" t="n">
        <x:f>IF(AND(OR($B$5="All domains",$B$5=C48),C48&lt;&gt;"legal",D48="Build now"),E48,NA())</x:f>
        <x:v>48892.98419199999</x:v>
      </x:c>
      <x:c r="K48" s="67" t="n">
        <x:f>IF(AND(OR($B$5="All domains",$B$5=C48),C48&lt;&gt;"legal",D48="Build now"),F48,NA())</x:f>
        <x:v>82</x:v>
      </x:c>
      <x:c r="L48" s="67" t="e">
        <x:f>IF(AND(OR($B$5="All domains",$B$5=C48),C48&lt;&gt;"legal",D48="Validate next"),E48,NA())</x:f>
        <x:v>#N/A</x:v>
      </x:c>
      <x:c r="M48" s="67" t="e">
        <x:f>IF(AND(OR($B$5="All domains",$B$5=C48),C48&lt;&gt;"legal",D48="Validate next"),F48,NA())</x:f>
        <x:v>#N/A</x:v>
      </x:c>
      <x:c r="N48" s="67" t="e">
        <x:f>IF(AND(OR($B$5="All domains",$B$5=C48),C48&lt;&gt;"legal",OR(D48="Partner or monitor",D48="Deprioritize")),E48,NA())</x:f>
        <x:v>#N/A</x:v>
      </x:c>
      <x:c r="O48" s="67" t="e">
        <x:f>IF(AND(OR($B$5="All domains",$B$5=C48),C48&lt;&gt;"legal",OR(D48="Partner or monitor",D48="Deprioritize")),F48,NA())</x:f>
        <x:v>#N/A</x:v>
      </x:c>
      <x:c r="Q48" t="str">
        <x:v>transport_safety</x:v>
      </x:c>
    </x:row>
    <x:row r="49">
      <x:c r="A49" s="21" t="str">
        <x:f>'Task Matrix'!B19</x:f>
        <x:v>life_sciences/tms_marrow_cell_type_annotation_instance_1</x:v>
      </x:c>
      <x:c r="B49" s="21" t="str">
        <x:f>'Task Matrix'!C19</x:f>
        <x:v>Marrow Cell Type Annotation</x:v>
      </x:c>
      <x:c r="C49" s="21" t="str">
        <x:f>'Task Matrix'!D19</x:f>
        <x:v>life_sciences</x:v>
      </x:c>
      <x:c r="D49" s="21" t="str">
        <x:f>'Task Matrix'!AK19</x:f>
        <x:v>Validate next</x:v>
      </x:c>
      <x:c r="E49" s="66" t="n">
        <x:f>'Task Matrix'!AF19</x:f>
        <x:v>81430.09680000001</x:v>
      </x:c>
      <x:c r="F49" s="67" t="n">
        <x:f>'Task Matrix'!V19</x:f>
        <x:v>74</x:v>
      </x:c>
      <x:c r="G49" s="67" t="n">
        <x:f>'Task Matrix'!Y19</x:f>
        <x:v>66</x:v>
      </x:c>
      <x:c r="H49" s="67" t="e">
        <x:f>IF(AND(OR($B$5="All domains",$B$5=C49),C49="legal"),E49,NA())</x:f>
        <x:v>#N/A</x:v>
      </x:c>
      <x:c r="I49" s="67" t="e">
        <x:f>IF(AND(OR($B$5="All domains",$B$5=C49),C49="legal"),F49,NA())</x:f>
        <x:v>#N/A</x:v>
      </x:c>
      <x:c r="J49" s="67" t="e">
        <x:f>IF(AND(OR($B$5="All domains",$B$5=C49),C49&lt;&gt;"legal",D49="Build now"),E49,NA())</x:f>
        <x:v>#N/A</x:v>
      </x:c>
      <x:c r="K49" s="67" t="e">
        <x:f>IF(AND(OR($B$5="All domains",$B$5=C49),C49&lt;&gt;"legal",D49="Build now"),F49,NA())</x:f>
        <x:v>#N/A</x:v>
      </x:c>
      <x:c r="L49" s="67" t="n">
        <x:f>IF(AND(OR($B$5="All domains",$B$5=C49),C49&lt;&gt;"legal",D49="Validate next"),E49,NA())</x:f>
        <x:v>81430.09680000001</x:v>
      </x:c>
      <x:c r="M49" s="67" t="n">
        <x:f>IF(AND(OR($B$5="All domains",$B$5=C49),C49&lt;&gt;"legal",D49="Validate next"),F49,NA())</x:f>
        <x:v>74</x:v>
      </x:c>
      <x:c r="N49" s="67" t="e">
        <x:f>IF(AND(OR($B$5="All domains",$B$5=C49),C49&lt;&gt;"legal",OR(D49="Partner or monitor",D49="Deprioritize")),E49,NA())</x:f>
        <x:v>#N/A</x:v>
      </x:c>
      <x:c r="O49" s="67" t="e">
        <x:f>IF(AND(OR($B$5="All domains",$B$5=C49),C49&lt;&gt;"legal",OR(D49="Partner or monitor",D49="Deprioritize")),F49,NA())</x:f>
        <x:v>#N/A</x:v>
      </x:c>
      <x:c r="Q49" t="str">
        <x:v>visual_media</x:v>
      </x:c>
    </x:row>
    <x:row r="50">
      <x:c r="A50" s="21" t="str">
        <x:f>'Task Matrix'!B20</x:f>
        <x:v>life_sciences/hg002_chr22_germline_variant_pipeline</x:v>
      </x:c>
      <x:c r="B50" s="21" t="str">
        <x:f>'Task Matrix'!C20</x:f>
        <x:v>HG002 Chr22 Germline Variant Pipeline</x:v>
      </x:c>
      <x:c r="C50" s="21" t="str">
        <x:f>'Task Matrix'!D20</x:f>
        <x:v>life_sciences</x:v>
      </x:c>
      <x:c r="D50" s="21" t="str">
        <x:f>'Task Matrix'!AK20</x:f>
        <x:v>Validate next</x:v>
      </x:c>
      <x:c r="E50" s="66" t="n">
        <x:f>'Task Matrix'!AF20</x:f>
        <x:v>81430.09680000001</x:v>
      </x:c>
      <x:c r="F50" s="67" t="n">
        <x:f>'Task Matrix'!V20</x:f>
        <x:v>74</x:v>
      </x:c>
      <x:c r="G50" s="67" t="n">
        <x:f>'Task Matrix'!Y20</x:f>
        <x:v>66</x:v>
      </x:c>
      <x:c r="H50" s="67" t="e">
        <x:f>IF(AND(OR($B$5="All domains",$B$5=C50),C50="legal"),E50,NA())</x:f>
        <x:v>#N/A</x:v>
      </x:c>
      <x:c r="I50" s="67" t="e">
        <x:f>IF(AND(OR($B$5="All domains",$B$5=C50),C50="legal"),F50,NA())</x:f>
        <x:v>#N/A</x:v>
      </x:c>
      <x:c r="J50" s="67" t="e">
        <x:f>IF(AND(OR($B$5="All domains",$B$5=C50),C50&lt;&gt;"legal",D50="Build now"),E50,NA())</x:f>
        <x:v>#N/A</x:v>
      </x:c>
      <x:c r="K50" s="67" t="e">
        <x:f>IF(AND(OR($B$5="All domains",$B$5=C50),C50&lt;&gt;"legal",D50="Build now"),F50,NA())</x:f>
        <x:v>#N/A</x:v>
      </x:c>
      <x:c r="L50" s="67" t="n">
        <x:f>IF(AND(OR($B$5="All domains",$B$5=C50),C50&lt;&gt;"legal",D50="Validate next"),E50,NA())</x:f>
        <x:v>81430.09680000001</x:v>
      </x:c>
      <x:c r="M50" s="67" t="n">
        <x:f>IF(AND(OR($B$5="All domains",$B$5=C50),C50&lt;&gt;"legal",D50="Validate next"),F50,NA())</x:f>
        <x:v>74</x:v>
      </x:c>
      <x:c r="N50" s="67" t="e">
        <x:f>IF(AND(OR($B$5="All domains",$B$5=C50),C50&lt;&gt;"legal",OR(D50="Partner or monitor",D50="Deprioritize")),E50,NA())</x:f>
        <x:v>#N/A</x:v>
      </x:c>
      <x:c r="O50" s="67" t="e">
        <x:f>IF(AND(OR($B$5="All domains",$B$5=C50),C50&lt;&gt;"legal",OR(D50="Partner or monitor",D50="Deprioritize")),F50,NA())</x:f>
        <x:v>#N/A</x:v>
      </x:c>
    </x:row>
    <x:row r="51">
      <x:c r="A51" s="21" t="str">
        <x:f>'Task Matrix'!B21</x:f>
        <x:v>computing_math/k8s_migration_1</x:v>
      </x:c>
      <x:c r="B51" s="21" t="str">
        <x:f>'Task Matrix'!C21</x:f>
        <x:v>Docker Compose To Kubernetes Migration</x:v>
      </x:c>
      <x:c r="C51" s="21" t="str">
        <x:f>'Task Matrix'!D21</x:f>
        <x:v>computing_math</x:v>
      </x:c>
      <x:c r="D51" s="21" t="str">
        <x:f>'Task Matrix'!AK21</x:f>
        <x:v>Validate next</x:v>
      </x:c>
      <x:c r="E51" s="66" t="n">
        <x:f>'Task Matrix'!AF21</x:f>
        <x:v>72272.53371519998</x:v>
      </x:c>
      <x:c r="F51" s="67" t="n">
        <x:f>'Task Matrix'!V21</x:f>
        <x:v>72</x:v>
      </x:c>
      <x:c r="G51" s="67" t="n">
        <x:f>'Task Matrix'!Y21</x:f>
        <x:v>68</x:v>
      </x:c>
      <x:c r="H51" s="67" t="e">
        <x:f>IF(AND(OR($B$5="All domains",$B$5=C51),C51="legal"),E51,NA())</x:f>
        <x:v>#N/A</x:v>
      </x:c>
      <x:c r="I51" s="67" t="e">
        <x:f>IF(AND(OR($B$5="All domains",$B$5=C51),C51="legal"),F51,NA())</x:f>
        <x:v>#N/A</x:v>
      </x:c>
      <x:c r="J51" s="67" t="e">
        <x:f>IF(AND(OR($B$5="All domains",$B$5=C51),C51&lt;&gt;"legal",D51="Build now"),E51,NA())</x:f>
        <x:v>#N/A</x:v>
      </x:c>
      <x:c r="K51" s="67" t="e">
        <x:f>IF(AND(OR($B$5="All domains",$B$5=C51),C51&lt;&gt;"legal",D51="Build now"),F51,NA())</x:f>
        <x:v>#N/A</x:v>
      </x:c>
      <x:c r="L51" s="67" t="n">
        <x:f>IF(AND(OR($B$5="All domains",$B$5=C51),C51&lt;&gt;"legal",D51="Validate next"),E51,NA())</x:f>
        <x:v>72272.53371519998</x:v>
      </x:c>
      <x:c r="M51" s="67" t="n">
        <x:f>IF(AND(OR($B$5="All domains",$B$5=C51),C51&lt;&gt;"legal",D51="Validate next"),F51,NA())</x:f>
        <x:v>72</x:v>
      </x:c>
      <x:c r="N51" s="67" t="e">
        <x:f>IF(AND(OR($B$5="All domains",$B$5=C51),C51&lt;&gt;"legal",OR(D51="Partner or monitor",D51="Deprioritize")),E51,NA())</x:f>
        <x:v>#N/A</x:v>
      </x:c>
      <x:c r="O51" s="67" t="e">
        <x:f>IF(AND(OR($B$5="All domains",$B$5=C51),C51&lt;&gt;"legal",OR(D51="Partner or monitor",D51="Deprioritize")),F51,NA())</x:f>
        <x:v>#N/A</x:v>
      </x:c>
    </x:row>
    <x:row r="52">
      <x:c r="A52" s="21" t="str">
        <x:f>'Task Matrix'!B22</x:f>
        <x:v>computing_math/k8s_payment_api_root_cause_analysis</x:v>
      </x:c>
      <x:c r="B52" s="21" t="str">
        <x:f>'Task Matrix'!C22</x:f>
        <x:v>Kubernetes Payment API Root Cause Analysis</x:v>
      </x:c>
      <x:c r="C52" s="21" t="str">
        <x:f>'Task Matrix'!D22</x:f>
        <x:v>computing_math</x:v>
      </x:c>
      <x:c r="D52" s="21" t="str">
        <x:f>'Task Matrix'!AK22</x:f>
        <x:v>Validate next</x:v>
      </x:c>
      <x:c r="E52" s="66" t="n">
        <x:f>'Task Matrix'!AF22</x:f>
        <x:v>77610.86115328</x:v>
      </x:c>
      <x:c r="F52" s="67" t="n">
        <x:f>'Task Matrix'!V22</x:f>
        <x:v>82</x:v>
      </x:c>
      <x:c r="G52" s="67" t="n">
        <x:f>'Task Matrix'!Y22</x:f>
        <x:v>72</x:v>
      </x:c>
      <x:c r="H52" s="67" t="e">
        <x:f>IF(AND(OR($B$5="All domains",$B$5=C52),C52="legal"),E52,NA())</x:f>
        <x:v>#N/A</x:v>
      </x:c>
      <x:c r="I52" s="67" t="e">
        <x:f>IF(AND(OR($B$5="All domains",$B$5=C52),C52="legal"),F52,NA())</x:f>
        <x:v>#N/A</x:v>
      </x:c>
      <x:c r="J52" s="67" t="e">
        <x:f>IF(AND(OR($B$5="All domains",$B$5=C52),C52&lt;&gt;"legal",D52="Build now"),E52,NA())</x:f>
        <x:v>#N/A</x:v>
      </x:c>
      <x:c r="K52" s="67" t="e">
        <x:f>IF(AND(OR($B$5="All domains",$B$5=C52),C52&lt;&gt;"legal",D52="Build now"),F52,NA())</x:f>
        <x:v>#N/A</x:v>
      </x:c>
      <x:c r="L52" s="67" t="n">
        <x:f>IF(AND(OR($B$5="All domains",$B$5=C52),C52&lt;&gt;"legal",D52="Validate next"),E52,NA())</x:f>
        <x:v>77610.86115328</x:v>
      </x:c>
      <x:c r="M52" s="67" t="n">
        <x:f>IF(AND(OR($B$5="All domains",$B$5=C52),C52&lt;&gt;"legal",D52="Validate next"),F52,NA())</x:f>
        <x:v>82</x:v>
      </x:c>
      <x:c r="N52" s="67" t="e">
        <x:f>IF(AND(OR($B$5="All domains",$B$5=C52),C52&lt;&gt;"legal",OR(D52="Partner or monitor",D52="Deprioritize")),E52,NA())</x:f>
        <x:v>#N/A</x:v>
      </x:c>
      <x:c r="O52" s="67" t="e">
        <x:f>IF(AND(OR($B$5="All domains",$B$5=C52),C52&lt;&gt;"legal",OR(D52="Partner or monitor",D52="Deprioritize")),F52,NA())</x:f>
        <x:v>#N/A</x:v>
      </x:c>
    </x:row>
    <x:row r="53">
      <x:c r="A53" s="21" t="str">
        <x:f>'Task Matrix'!B23</x:f>
        <x:v>health_medicine/healthcare_variant_annotation_pipeline</x:v>
      </x:c>
      <x:c r="B53" s="21" t="str">
        <x:f>'Task Matrix'!C23</x:f>
        <x:v>Build A Pinned Clinical Variant Annotation Table</x:v>
      </x:c>
      <x:c r="C53" s="21" t="str">
        <x:f>'Task Matrix'!D23</x:f>
        <x:v>health_medicine</x:v>
      </x:c>
      <x:c r="D53" s="21" t="str">
        <x:f>'Task Matrix'!AK23</x:f>
        <x:v>Validate next</x:v>
      </x:c>
      <x:c r="E53" s="66" t="n">
        <x:f>'Task Matrix'!AF23</x:f>
        <x:v>380043.933952</x:v>
      </x:c>
      <x:c r="F53" s="67" t="n">
        <x:f>'Task Matrix'!V23</x:f>
        <x:v>72</x:v>
      </x:c>
      <x:c r="G53" s="67" t="n">
        <x:f>'Task Matrix'!Y23</x:f>
        <x:v>88</x:v>
      </x:c>
      <x:c r="H53" s="67" t="e">
        <x:f>IF(AND(OR($B$5="All domains",$B$5=C53),C53="legal"),E53,NA())</x:f>
        <x:v>#N/A</x:v>
      </x:c>
      <x:c r="I53" s="67" t="e">
        <x:f>IF(AND(OR($B$5="All domains",$B$5=C53),C53="legal"),F53,NA())</x:f>
        <x:v>#N/A</x:v>
      </x:c>
      <x:c r="J53" s="67" t="e">
        <x:f>IF(AND(OR($B$5="All domains",$B$5=C53),C53&lt;&gt;"legal",D53="Build now"),E53,NA())</x:f>
        <x:v>#N/A</x:v>
      </x:c>
      <x:c r="K53" s="67" t="e">
        <x:f>IF(AND(OR($B$5="All domains",$B$5=C53),C53&lt;&gt;"legal",D53="Build now"),F53,NA())</x:f>
        <x:v>#N/A</x:v>
      </x:c>
      <x:c r="L53" s="67" t="n">
        <x:f>IF(AND(OR($B$5="All domains",$B$5=C53),C53&lt;&gt;"legal",D53="Validate next"),E53,NA())</x:f>
        <x:v>380043.933952</x:v>
      </x:c>
      <x:c r="M53" s="67" t="n">
        <x:f>IF(AND(OR($B$5="All domains",$B$5=C53),C53&lt;&gt;"legal",D53="Validate next"),F53,NA())</x:f>
        <x:v>72</x:v>
      </x:c>
      <x:c r="N53" s="67" t="e">
        <x:f>IF(AND(OR($B$5="All domains",$B$5=C53),C53&lt;&gt;"legal",OR(D53="Partner or monitor",D53="Deprioritize")),E53,NA())</x:f>
        <x:v>#N/A</x:v>
      </x:c>
      <x:c r="O53" s="67" t="e">
        <x:f>IF(AND(OR($B$5="All domains",$B$5=C53),C53&lt;&gt;"legal",OR(D53="Partner or monitor",D53="Deprioritize")),F53,NA())</x:f>
        <x:v>#N/A</x:v>
      </x:c>
    </x:row>
    <x:row r="54">
      <x:c r="A54" s="21" t="str">
        <x:f>'Task Matrix'!B24</x:f>
        <x:v>business_finance/ar_full_1500</x:v>
      </x:c>
      <x:c r="B54" s="21" t="str">
        <x:f>'Task Matrix'!C24</x:f>
        <x:v>Annual Report Full Extraction (1500 files)</x:v>
      </x:c>
      <x:c r="C54" s="21" t="str">
        <x:f>'Task Matrix'!D24</x:f>
        <x:v>business_finance</x:v>
      </x:c>
      <x:c r="D54" s="21" t="str">
        <x:f>'Task Matrix'!AK24</x:f>
        <x:v>Validate next</x:v>
      </x:c>
      <x:c r="E54" s="66" t="n">
        <x:f>'Task Matrix'!AF24</x:f>
        <x:v>110706.16300000003</x:v>
      </x:c>
      <x:c r="F54" s="67" t="n">
        <x:f>'Task Matrix'!V24</x:f>
        <x:v>56</x:v>
      </x:c>
      <x:c r="G54" s="67" t="n">
        <x:f>'Task Matrix'!Y24</x:f>
        <x:v>82</x:v>
      </x:c>
      <x:c r="H54" s="67" t="e">
        <x:f>IF(AND(OR($B$5="All domains",$B$5=C54),C54="legal"),E54,NA())</x:f>
        <x:v>#N/A</x:v>
      </x:c>
      <x:c r="I54" s="67" t="e">
        <x:f>IF(AND(OR($B$5="All domains",$B$5=C54),C54="legal"),F54,NA())</x:f>
        <x:v>#N/A</x:v>
      </x:c>
      <x:c r="J54" s="67" t="e">
        <x:f>IF(AND(OR($B$5="All domains",$B$5=C54),C54&lt;&gt;"legal",D54="Build now"),E54,NA())</x:f>
        <x:v>#N/A</x:v>
      </x:c>
      <x:c r="K54" s="67" t="e">
        <x:f>IF(AND(OR($B$5="All domains",$B$5=C54),C54&lt;&gt;"legal",D54="Build now"),F54,NA())</x:f>
        <x:v>#N/A</x:v>
      </x:c>
      <x:c r="L54" s="67" t="n">
        <x:f>IF(AND(OR($B$5="All domains",$B$5=C54),C54&lt;&gt;"legal",D54="Validate next"),E54,NA())</x:f>
        <x:v>110706.16300000003</x:v>
      </x:c>
      <x:c r="M54" s="67" t="n">
        <x:f>IF(AND(OR($B$5="All domains",$B$5=C54),C54&lt;&gt;"legal",D54="Validate next"),F54,NA())</x:f>
        <x:v>56</x:v>
      </x:c>
      <x:c r="N54" s="67" t="e">
        <x:f>IF(AND(OR($B$5="All domains",$B$5=C54),C54&lt;&gt;"legal",OR(D54="Partner or monitor",D54="Deprioritize")),E54,NA())</x:f>
        <x:v>#N/A</x:v>
      </x:c>
      <x:c r="O54" s="67" t="e">
        <x:f>IF(AND(OR($B$5="All domains",$B$5=C54),C54&lt;&gt;"legal",OR(D54="Partner or monitor",D54="Deprioritize")),F54,NA())</x:f>
        <x:v>#N/A</x:v>
      </x:c>
    </x:row>
    <x:row r="55">
      <x:c r="A55" s="21" t="str">
        <x:f>'Task Matrix'!B25</x:f>
        <x:v>health_medicine/Clinical_Variant_Annotation</x:v>
      </x:c>
      <x:c r="B55" s="21" t="str">
        <x:f>'Task Matrix'!C25</x:f>
        <x:v>Clinical Variant Annotation</x:v>
      </x:c>
      <x:c r="C55" s="21" t="str">
        <x:f>'Task Matrix'!D25</x:f>
        <x:v>health_medicine</x:v>
      </x:c>
      <x:c r="D55" s="21" t="str">
        <x:f>'Task Matrix'!AK25</x:f>
        <x:v>Validate next</x:v>
      </x:c>
      <x:c r="E55" s="66" t="n">
        <x:f>'Task Matrix'!AF25</x:f>
        <x:v>142203.975232</x:v>
      </x:c>
      <x:c r="F55" s="67" t="n">
        <x:f>'Task Matrix'!V25</x:f>
        <x:v>72</x:v>
      </x:c>
      <x:c r="G55" s="67" t="n">
        <x:f>'Task Matrix'!Y25</x:f>
        <x:v>88</x:v>
      </x:c>
      <x:c r="H55" s="67" t="e">
        <x:f>IF(AND(OR($B$5="All domains",$B$5=C55),C55="legal"),E55,NA())</x:f>
        <x:v>#N/A</x:v>
      </x:c>
      <x:c r="I55" s="67" t="e">
        <x:f>IF(AND(OR($B$5="All domains",$B$5=C55),C55="legal"),F55,NA())</x:f>
        <x:v>#N/A</x:v>
      </x:c>
      <x:c r="J55" s="67" t="e">
        <x:f>IF(AND(OR($B$5="All domains",$B$5=C55),C55&lt;&gt;"legal",D55="Build now"),E55,NA())</x:f>
        <x:v>#N/A</x:v>
      </x:c>
      <x:c r="K55" s="67" t="e">
        <x:f>IF(AND(OR($B$5="All domains",$B$5=C55),C55&lt;&gt;"legal",D55="Build now"),F55,NA())</x:f>
        <x:v>#N/A</x:v>
      </x:c>
      <x:c r="L55" s="67" t="n">
        <x:f>IF(AND(OR($B$5="All domains",$B$5=C55),C55&lt;&gt;"legal",D55="Validate next"),E55,NA())</x:f>
        <x:v>142203.975232</x:v>
      </x:c>
      <x:c r="M55" s="67" t="n">
        <x:f>IF(AND(OR($B$5="All domains",$B$5=C55),C55&lt;&gt;"legal",D55="Validate next"),F55,NA())</x:f>
        <x:v>72</x:v>
      </x:c>
      <x:c r="N55" s="67" t="e">
        <x:f>IF(AND(OR($B$5="All domains",$B$5=C55),C55&lt;&gt;"legal",OR(D55="Partner or monitor",D55="Deprioritize")),E55,NA())</x:f>
        <x:v>#N/A</x:v>
      </x:c>
      <x:c r="O55" s="67" t="e">
        <x:f>IF(AND(OR($B$5="All domains",$B$5=C55),C55&lt;&gt;"legal",OR(D55="Partner or monitor",D55="Deprioritize")),F55,NA())</x:f>
        <x:v>#N/A</x:v>
      </x:c>
    </x:row>
    <x:row r="56">
      <x:c r="A56" s="21" t="str">
        <x:f>'Task Matrix'!B26</x:f>
        <x:v>computing_math/ranking_node_feature_parity_recovery_instance_1</x:v>
      </x:c>
      <x:c r="B56" s="21" t="str">
        <x:f>'Task Matrix'!C26</x:f>
        <x:v>Ranking Node Feature Parity Recovery</x:v>
      </x:c>
      <x:c r="C56" s="21" t="str">
        <x:f>'Task Matrix'!D26</x:f>
        <x:v>computing_math</x:v>
      </x:c>
      <x:c r="D56" s="21" t="str">
        <x:f>'Task Matrix'!AK26</x:f>
        <x:v>Validate next</x:v>
      </x:c>
      <x:c r="E56" s="66" t="n">
        <x:f>'Task Matrix'!AF26</x:f>
        <x:v>82596.59000319999</x:v>
      </x:c>
      <x:c r="F56" s="67" t="n">
        <x:f>'Task Matrix'!V26</x:f>
        <x:v>64</x:v>
      </x:c>
      <x:c r="G56" s="67" t="n">
        <x:f>'Task Matrix'!Y26</x:f>
        <x:v>56</x:v>
      </x:c>
      <x:c r="H56" s="67" t="e">
        <x:f>IF(AND(OR($B$5="All domains",$B$5=C56),C56="legal"),E56,NA())</x:f>
        <x:v>#N/A</x:v>
      </x:c>
      <x:c r="I56" s="67" t="e">
        <x:f>IF(AND(OR($B$5="All domains",$B$5=C56),C56="legal"),F56,NA())</x:f>
        <x:v>#N/A</x:v>
      </x:c>
      <x:c r="J56" s="67" t="e">
        <x:f>IF(AND(OR($B$5="All domains",$B$5=C56),C56&lt;&gt;"legal",D56="Build now"),E56,NA())</x:f>
        <x:v>#N/A</x:v>
      </x:c>
      <x:c r="K56" s="67" t="e">
        <x:f>IF(AND(OR($B$5="All domains",$B$5=C56),C56&lt;&gt;"legal",D56="Build now"),F56,NA())</x:f>
        <x:v>#N/A</x:v>
      </x:c>
      <x:c r="L56" s="67" t="n">
        <x:f>IF(AND(OR($B$5="All domains",$B$5=C56),C56&lt;&gt;"legal",D56="Validate next"),E56,NA())</x:f>
        <x:v>82596.59000319999</x:v>
      </x:c>
      <x:c r="M56" s="67" t="n">
        <x:f>IF(AND(OR($B$5="All domains",$B$5=C56),C56&lt;&gt;"legal",D56="Validate next"),F56,NA())</x:f>
        <x:v>64</x:v>
      </x:c>
      <x:c r="N56" s="67" t="e">
        <x:f>IF(AND(OR($B$5="All domains",$B$5=C56),C56&lt;&gt;"legal",OR(D56="Partner or monitor",D56="Deprioritize")),E56,NA())</x:f>
        <x:v>#N/A</x:v>
      </x:c>
      <x:c r="O56" s="67" t="e">
        <x:f>IF(AND(OR($B$5="All domains",$B$5=C56),C56&lt;&gt;"legal",OR(D56="Partner or monitor",D56="Deprioritize")),F56,NA())</x:f>
        <x:v>#N/A</x:v>
      </x:c>
    </x:row>
    <x:row r="57">
      <x:c r="A57" s="21" t="str">
        <x:f>'Task Matrix'!B27</x:f>
        <x:v>health_medicine/crf_sdtm_mapping_4</x:v>
      </x:c>
      <x:c r="B57" s="21" t="str">
        <x:f>'Task Matrix'!C27</x:f>
        <x:v>CRF To SDTM Mapping Specification 4</x:v>
      </x:c>
      <x:c r="C57" s="21" t="str">
        <x:f>'Task Matrix'!D27</x:f>
        <x:v>health_medicine</x:v>
      </x:c>
      <x:c r="D57" s="21" t="str">
        <x:f>'Task Matrix'!AK27</x:f>
        <x:v>Validate next</x:v>
      </x:c>
      <x:c r="E57" s="66" t="n">
        <x:f>'Task Matrix'!AF27</x:f>
        <x:v>40508.27538431999</x:v>
      </x:c>
      <x:c r="F57" s="67" t="n">
        <x:f>'Task Matrix'!V27</x:f>
        <x:v>82</x:v>
      </x:c>
      <x:c r="G57" s="67" t="n">
        <x:f>'Task Matrix'!Y27</x:f>
        <x:v>88</x:v>
      </x:c>
      <x:c r="H57" s="67" t="e">
        <x:f>IF(AND(OR($B$5="All domains",$B$5=C57),C57="legal"),E57,NA())</x:f>
        <x:v>#N/A</x:v>
      </x:c>
      <x:c r="I57" s="67" t="e">
        <x:f>IF(AND(OR($B$5="All domains",$B$5=C57),C57="legal"),F57,NA())</x:f>
        <x:v>#N/A</x:v>
      </x:c>
      <x:c r="J57" s="67" t="e">
        <x:f>IF(AND(OR($B$5="All domains",$B$5=C57),C57&lt;&gt;"legal",D57="Build now"),E57,NA())</x:f>
        <x:v>#N/A</x:v>
      </x:c>
      <x:c r="K57" s="67" t="e">
        <x:f>IF(AND(OR($B$5="All domains",$B$5=C57),C57&lt;&gt;"legal",D57="Build now"),F57,NA())</x:f>
        <x:v>#N/A</x:v>
      </x:c>
      <x:c r="L57" s="67" t="n">
        <x:f>IF(AND(OR($B$5="All domains",$B$5=C57),C57&lt;&gt;"legal",D57="Validate next"),E57,NA())</x:f>
        <x:v>40508.27538431999</x:v>
      </x:c>
      <x:c r="M57" s="67" t="n">
        <x:f>IF(AND(OR($B$5="All domains",$B$5=C57),C57&lt;&gt;"legal",D57="Validate next"),F57,NA())</x:f>
        <x:v>82</x:v>
      </x:c>
      <x:c r="N57" s="67" t="e">
        <x:f>IF(AND(OR($B$5="All domains",$B$5=C57),C57&lt;&gt;"legal",OR(D57="Partner or monitor",D57="Deprioritize")),E57,NA())</x:f>
        <x:v>#N/A</x:v>
      </x:c>
      <x:c r="O57" s="67" t="e">
        <x:f>IF(AND(OR($B$5="All domains",$B$5=C57),C57&lt;&gt;"legal",OR(D57="Partner or monitor",D57="Deprioritize")),F57,NA())</x:f>
        <x:v>#N/A</x:v>
      </x:c>
    </x:row>
    <x:row r="58">
      <x:c r="A58" s="21" t="str">
        <x:f>'Task Matrix'!B28</x:f>
        <x:v>health_medicine/crf_sdtm_mapping_1</x:v>
      </x:c>
      <x:c r="B58" s="21" t="str">
        <x:f>'Task Matrix'!C28</x:f>
        <x:v>CRF To SDTM Mapping Specification</x:v>
      </x:c>
      <x:c r="C58" s="21" t="str">
        <x:f>'Task Matrix'!D28</x:f>
        <x:v>health_medicine</x:v>
      </x:c>
      <x:c r="D58" s="21" t="str">
        <x:f>'Task Matrix'!AK28</x:f>
        <x:v>Validate next</x:v>
      </x:c>
      <x:c r="E58" s="66" t="n">
        <x:f>'Task Matrix'!AF28</x:f>
        <x:v>40508.27538431999</x:v>
      </x:c>
      <x:c r="F58" s="67" t="n">
        <x:f>'Task Matrix'!V28</x:f>
        <x:v>82</x:v>
      </x:c>
      <x:c r="G58" s="67" t="n">
        <x:f>'Task Matrix'!Y28</x:f>
        <x:v>88</x:v>
      </x:c>
      <x:c r="H58" s="67" t="e">
        <x:f>IF(AND(OR($B$5="All domains",$B$5=C58),C58="legal"),E58,NA())</x:f>
        <x:v>#N/A</x:v>
      </x:c>
      <x:c r="I58" s="67" t="e">
        <x:f>IF(AND(OR($B$5="All domains",$B$5=C58),C58="legal"),F58,NA())</x:f>
        <x:v>#N/A</x:v>
      </x:c>
      <x:c r="J58" s="67" t="e">
        <x:f>IF(AND(OR($B$5="All domains",$B$5=C58),C58&lt;&gt;"legal",D58="Build now"),E58,NA())</x:f>
        <x:v>#N/A</x:v>
      </x:c>
      <x:c r="K58" s="67" t="e">
        <x:f>IF(AND(OR($B$5="All domains",$B$5=C58),C58&lt;&gt;"legal",D58="Build now"),F58,NA())</x:f>
        <x:v>#N/A</x:v>
      </x:c>
      <x:c r="L58" s="67" t="n">
        <x:f>IF(AND(OR($B$5="All domains",$B$5=C58),C58&lt;&gt;"legal",D58="Validate next"),E58,NA())</x:f>
        <x:v>40508.27538431999</x:v>
      </x:c>
      <x:c r="M58" s="67" t="n">
        <x:f>IF(AND(OR($B$5="All domains",$B$5=C58),C58&lt;&gt;"legal",D58="Validate next"),F58,NA())</x:f>
        <x:v>82</x:v>
      </x:c>
      <x:c r="N58" s="67" t="e">
        <x:f>IF(AND(OR($B$5="All domains",$B$5=C58),C58&lt;&gt;"legal",OR(D58="Partner or monitor",D58="Deprioritize")),E58,NA())</x:f>
        <x:v>#N/A</x:v>
      </x:c>
      <x:c r="O58" s="67" t="e">
        <x:f>IF(AND(OR($B$5="All domains",$B$5=C58),C58&lt;&gt;"legal",OR(D58="Partner or monitor",D58="Deprioritize")),F58,NA())</x:f>
        <x:v>#N/A</x:v>
      </x:c>
    </x:row>
    <x:row r="59">
      <x:c r="A59" s="21" t="str">
        <x:f>'Task Matrix'!B29</x:f>
        <x:v>life_sciences/tcga_brca_deg_analysis</x:v>
      </x:c>
      <x:c r="B59" s="21" t="str">
        <x:f>'Task Matrix'!C29</x:f>
        <x:v>TCGA BRCA Differential Expression Analysis</x:v>
      </x:c>
      <x:c r="C59" s="21" t="str">
        <x:f>'Task Matrix'!D29</x:f>
        <x:v>life_sciences</x:v>
      </x:c>
      <x:c r="D59" s="21" t="str">
        <x:f>'Task Matrix'!AK29</x:f>
        <x:v>Validate next</x:v>
      </x:c>
      <x:c r="E59" s="66" t="n">
        <x:f>'Task Matrix'!AF29</x:f>
        <x:v>111511.01000000001</x:v>
      </x:c>
      <x:c r="F59" s="67" t="n">
        <x:f>'Task Matrix'!V29</x:f>
        <x:v>50</x:v>
      </x:c>
      <x:c r="G59" s="67" t="n">
        <x:f>'Task Matrix'!Y29</x:f>
        <x:v>84</x:v>
      </x:c>
      <x:c r="H59" s="67" t="e">
        <x:f>IF(AND(OR($B$5="All domains",$B$5=C59),C59="legal"),E59,NA())</x:f>
        <x:v>#N/A</x:v>
      </x:c>
      <x:c r="I59" s="67" t="e">
        <x:f>IF(AND(OR($B$5="All domains",$B$5=C59),C59="legal"),F59,NA())</x:f>
        <x:v>#N/A</x:v>
      </x:c>
      <x:c r="J59" s="67" t="e">
        <x:f>IF(AND(OR($B$5="All domains",$B$5=C59),C59&lt;&gt;"legal",D59="Build now"),E59,NA())</x:f>
        <x:v>#N/A</x:v>
      </x:c>
      <x:c r="K59" s="67" t="e">
        <x:f>IF(AND(OR($B$5="All domains",$B$5=C59),C59&lt;&gt;"legal",D59="Build now"),F59,NA())</x:f>
        <x:v>#N/A</x:v>
      </x:c>
      <x:c r="L59" s="67" t="n">
        <x:f>IF(AND(OR($B$5="All domains",$B$5=C59),C59&lt;&gt;"legal",D59="Validate next"),E59,NA())</x:f>
        <x:v>111511.01000000001</x:v>
      </x:c>
      <x:c r="M59" s="67" t="n">
        <x:f>IF(AND(OR($B$5="All domains",$B$5=C59),C59&lt;&gt;"legal",D59="Validate next"),F59,NA())</x:f>
        <x:v>50</x:v>
      </x:c>
      <x:c r="N59" s="67" t="e">
        <x:f>IF(AND(OR($B$5="All domains",$B$5=C59),C59&lt;&gt;"legal",OR(D59="Partner or monitor",D59="Deprioritize")),E59,NA())</x:f>
        <x:v>#N/A</x:v>
      </x:c>
      <x:c r="O59" s="67" t="e">
        <x:f>IF(AND(OR($B$5="All domains",$B$5=C59),C59&lt;&gt;"legal",OR(D59="Partner or monitor",D59="Deprioritize")),F59,NA())</x:f>
        <x:v>#N/A</x:v>
      </x:c>
    </x:row>
    <x:row r="60">
      <x:c r="A60" s="21" t="str">
        <x:f>'Task Matrix'!B30</x:f>
        <x:v>business_finance/pe_screening_memo_1</x:v>
      </x:c>
      <x:c r="B60" s="21" t="str">
        <x:f>'Task Matrix'!C30</x:f>
        <x:v>PE Screening Memo 1</x:v>
      </x:c>
      <x:c r="C60" s="21" t="str">
        <x:f>'Task Matrix'!D30</x:f>
        <x:v>business_finance</x:v>
      </x:c>
      <x:c r="D60" s="21" t="str">
        <x:f>'Task Matrix'!AK30</x:f>
        <x:v>Validate next</x:v>
      </x:c>
      <x:c r="E60" s="66" t="n">
        <x:f>'Task Matrix'!AF30</x:f>
        <x:v>35864.18779199999</x:v>
      </x:c>
      <x:c r="F60" s="67" t="n">
        <x:f>'Task Matrix'!V30</x:f>
        <x:v>82</x:v>
      </x:c>
      <x:c r="G60" s="67" t="n">
        <x:f>'Task Matrix'!Y30</x:f>
        <x:v>80</x:v>
      </x:c>
      <x:c r="H60" s="67" t="e">
        <x:f>IF(AND(OR($B$5="All domains",$B$5=C60),C60="legal"),E60,NA())</x:f>
        <x:v>#N/A</x:v>
      </x:c>
      <x:c r="I60" s="67" t="e">
        <x:f>IF(AND(OR($B$5="All domains",$B$5=C60),C60="legal"),F60,NA())</x:f>
        <x:v>#N/A</x:v>
      </x:c>
      <x:c r="J60" s="67" t="e">
        <x:f>IF(AND(OR($B$5="All domains",$B$5=C60),C60&lt;&gt;"legal",D60="Build now"),E60,NA())</x:f>
        <x:v>#N/A</x:v>
      </x:c>
      <x:c r="K60" s="67" t="e">
        <x:f>IF(AND(OR($B$5="All domains",$B$5=C60),C60&lt;&gt;"legal",D60="Build now"),F60,NA())</x:f>
        <x:v>#N/A</x:v>
      </x:c>
      <x:c r="L60" s="67" t="n">
        <x:f>IF(AND(OR($B$5="All domains",$B$5=C60),C60&lt;&gt;"legal",D60="Validate next"),E60,NA())</x:f>
        <x:v>35864.18779199999</x:v>
      </x:c>
      <x:c r="M60" s="67" t="n">
        <x:f>IF(AND(OR($B$5="All domains",$B$5=C60),C60&lt;&gt;"legal",D60="Validate next"),F60,NA())</x:f>
        <x:v>82</x:v>
      </x:c>
      <x:c r="N60" s="67" t="e">
        <x:f>IF(AND(OR($B$5="All domains",$B$5=C60),C60&lt;&gt;"legal",OR(D60="Partner or monitor",D60="Deprioritize")),E60,NA())</x:f>
        <x:v>#N/A</x:v>
      </x:c>
      <x:c r="O60" s="67" t="e">
        <x:f>IF(AND(OR($B$5="All domains",$B$5=C60),C60&lt;&gt;"legal",OR(D60="Partner or monitor",D60="Deprioritize")),F60,NA())</x:f>
        <x:v>#N/A</x:v>
      </x:c>
    </x:row>
    <x:row r="61">
      <x:c r="A61" s="21" t="str">
        <x:f>'Task Matrix'!B31</x:f>
        <x:v>health_medicine/obermeyer_bias_reproduction</x:v>
      </x:c>
      <x:c r="B61" s="21" t="str">
        <x:f>'Task Matrix'!C31</x:f>
        <x:v>obermeyer bias reproduction</x:v>
      </x:c>
      <x:c r="C61" s="21" t="str">
        <x:f>'Task Matrix'!D31</x:f>
        <x:v>health_medicine</x:v>
      </x:c>
      <x:c r="D61" s="21" t="str">
        <x:f>'Task Matrix'!AK31</x:f>
        <x:v>Validate next</x:v>
      </x:c>
      <x:c r="E61" s="66" t="n">
        <x:f>'Task Matrix'!AF31</x:f>
        <x:v>40508.27538431999</x:v>
      </x:c>
      <x:c r="F61" s="67" t="n">
        <x:f>'Task Matrix'!V31</x:f>
        <x:v>82</x:v>
      </x:c>
      <x:c r="G61" s="67" t="n">
        <x:f>'Task Matrix'!Y31</x:f>
        <x:v>80</x:v>
      </x:c>
      <x:c r="H61" s="67" t="e">
        <x:f>IF(AND(OR($B$5="All domains",$B$5=C61),C61="legal"),E61,NA())</x:f>
        <x:v>#N/A</x:v>
      </x:c>
      <x:c r="I61" s="67" t="e">
        <x:f>IF(AND(OR($B$5="All domains",$B$5=C61),C61="legal"),F61,NA())</x:f>
        <x:v>#N/A</x:v>
      </x:c>
      <x:c r="J61" s="67" t="e">
        <x:f>IF(AND(OR($B$5="All domains",$B$5=C61),C61&lt;&gt;"legal",D61="Build now"),E61,NA())</x:f>
        <x:v>#N/A</x:v>
      </x:c>
      <x:c r="K61" s="67" t="e">
        <x:f>IF(AND(OR($B$5="All domains",$B$5=C61),C61&lt;&gt;"legal",D61="Build now"),F61,NA())</x:f>
        <x:v>#N/A</x:v>
      </x:c>
      <x:c r="L61" s="67" t="n">
        <x:f>IF(AND(OR($B$5="All domains",$B$5=C61),C61&lt;&gt;"legal",D61="Validate next"),E61,NA())</x:f>
        <x:v>40508.27538431999</x:v>
      </x:c>
      <x:c r="M61" s="67" t="n">
        <x:f>IF(AND(OR($B$5="All domains",$B$5=C61),C61&lt;&gt;"legal",D61="Validate next"),F61,NA())</x:f>
        <x:v>82</x:v>
      </x:c>
      <x:c r="N61" s="67" t="e">
        <x:f>IF(AND(OR($B$5="All domains",$B$5=C61),C61&lt;&gt;"legal",OR(D61="Partner or monitor",D61="Deprioritize")),E61,NA())</x:f>
        <x:v>#N/A</x:v>
      </x:c>
      <x:c r="O61" s="67" t="e">
        <x:f>IF(AND(OR($B$5="All domains",$B$5=C61),C61&lt;&gt;"legal",OR(D61="Partner or monitor",D61="Deprioritize")),F61,NA())</x:f>
        <x:v>#N/A</x:v>
      </x:c>
    </x:row>
    <x:row r="62">
      <x:c r="A62" s="21" t="str">
        <x:f>'Task Matrix'!B32</x:f>
        <x:v>life_sciences/protein_function_annotation_instance_1</x:v>
      </x:c>
      <x:c r="B62" s="21" t="str">
        <x:f>'Task Matrix'!C32</x:f>
        <x:v>Protein Function Annotation With InterProScan</x:v>
      </x:c>
      <x:c r="C62" s="21" t="str">
        <x:f>'Task Matrix'!D32</x:f>
        <x:v>life_sciences</x:v>
      </x:c>
      <x:c r="D62" s="21" t="str">
        <x:f>'Task Matrix'!AK32</x:f>
        <x:v>Validate next</x:v>
      </x:c>
      <x:c r="E62" s="66" t="n">
        <x:f>'Task Matrix'!AF32</x:f>
        <x:v>74793.6904</x:v>
      </x:c>
      <x:c r="F62" s="67" t="n">
        <x:f>'Task Matrix'!V32</x:f>
        <x:v>64</x:v>
      </x:c>
      <x:c r="G62" s="67" t="n">
        <x:f>'Task Matrix'!Y32</x:f>
        <x:v>56</x:v>
      </x:c>
      <x:c r="H62" s="67" t="e">
        <x:f>IF(AND(OR($B$5="All domains",$B$5=C62),C62="legal"),E62,NA())</x:f>
        <x:v>#N/A</x:v>
      </x:c>
      <x:c r="I62" s="67" t="e">
        <x:f>IF(AND(OR($B$5="All domains",$B$5=C62),C62="legal"),F62,NA())</x:f>
        <x:v>#N/A</x:v>
      </x:c>
      <x:c r="J62" s="67" t="e">
        <x:f>IF(AND(OR($B$5="All domains",$B$5=C62),C62&lt;&gt;"legal",D62="Build now"),E62,NA())</x:f>
        <x:v>#N/A</x:v>
      </x:c>
      <x:c r="K62" s="67" t="e">
        <x:f>IF(AND(OR($B$5="All domains",$B$5=C62),C62&lt;&gt;"legal",D62="Build now"),F62,NA())</x:f>
        <x:v>#N/A</x:v>
      </x:c>
      <x:c r="L62" s="67" t="n">
        <x:f>IF(AND(OR($B$5="All domains",$B$5=C62),C62&lt;&gt;"legal",D62="Validate next"),E62,NA())</x:f>
        <x:v>74793.6904</x:v>
      </x:c>
      <x:c r="M62" s="67" t="n">
        <x:f>IF(AND(OR($B$5="All domains",$B$5=C62),C62&lt;&gt;"legal",D62="Validate next"),F62,NA())</x:f>
        <x:v>64</x:v>
      </x:c>
      <x:c r="N62" s="67" t="e">
        <x:f>IF(AND(OR($B$5="All domains",$B$5=C62),C62&lt;&gt;"legal",OR(D62="Partner or monitor",D62="Deprioritize")),E62,NA())</x:f>
        <x:v>#N/A</x:v>
      </x:c>
      <x:c r="O62" s="67" t="e">
        <x:f>IF(AND(OR($B$5="All domains",$B$5=C62),C62&lt;&gt;"legal",OR(D62="Partner or monitor",D62="Deprioritize")),F62,NA())</x:f>
        <x:v>#N/A</x:v>
      </x:c>
    </x:row>
    <x:row r="63">
      <x:c r="A63" s="21" t="str">
        <x:f>'Task Matrix'!B33</x:f>
        <x:v>engineering/sumo_urban_am_peak_calibration</x:v>
      </x:c>
      <x:c r="B63" s="21" t="str">
        <x:f>'Task Matrix'!C33</x:f>
        <x:v>SUMO Urban AM Peak Calibration</x:v>
      </x:c>
      <x:c r="C63" s="21" t="str">
        <x:f>'Task Matrix'!D33</x:f>
        <x:v>engineering</x:v>
      </x:c>
      <x:c r="D63" s="21" t="str">
        <x:f>'Task Matrix'!AK33</x:f>
        <x:v>Validate next</x:v>
      </x:c>
      <x:c r="E63" s="66" t="n">
        <x:f>'Task Matrix'!AF33</x:f>
        <x:v>37383.023431680005</x:v>
      </x:c>
      <x:c r="F63" s="67" t="n">
        <x:f>'Task Matrix'!V33</x:f>
        <x:v>82</x:v>
      </x:c>
      <x:c r="G63" s="67" t="n">
        <x:f>'Task Matrix'!Y33</x:f>
        <x:v>80</x:v>
      </x:c>
      <x:c r="H63" s="67" t="e">
        <x:f>IF(AND(OR($B$5="All domains",$B$5=C63),C63="legal"),E63,NA())</x:f>
        <x:v>#N/A</x:v>
      </x:c>
      <x:c r="I63" s="67" t="e">
        <x:f>IF(AND(OR($B$5="All domains",$B$5=C63),C63="legal"),F63,NA())</x:f>
        <x:v>#N/A</x:v>
      </x:c>
      <x:c r="J63" s="67" t="e">
        <x:f>IF(AND(OR($B$5="All domains",$B$5=C63),C63&lt;&gt;"legal",D63="Build now"),E63,NA())</x:f>
        <x:v>#N/A</x:v>
      </x:c>
      <x:c r="K63" s="67" t="e">
        <x:f>IF(AND(OR($B$5="All domains",$B$5=C63),C63&lt;&gt;"legal",D63="Build now"),F63,NA())</x:f>
        <x:v>#N/A</x:v>
      </x:c>
      <x:c r="L63" s="67" t="n">
        <x:f>IF(AND(OR($B$5="All domains",$B$5=C63),C63&lt;&gt;"legal",D63="Validate next"),E63,NA())</x:f>
        <x:v>37383.023431680005</x:v>
      </x:c>
      <x:c r="M63" s="67" t="n">
        <x:f>IF(AND(OR($B$5="All domains",$B$5=C63),C63&lt;&gt;"legal",D63="Validate next"),F63,NA())</x:f>
        <x:v>82</x:v>
      </x:c>
      <x:c r="N63" s="67" t="e">
        <x:f>IF(AND(OR($B$5="All domains",$B$5=C63),C63&lt;&gt;"legal",OR(D63="Partner or monitor",D63="Deprioritize")),E63,NA())</x:f>
        <x:v>#N/A</x:v>
      </x:c>
      <x:c r="O63" s="67" t="e">
        <x:f>IF(AND(OR($B$5="All domains",$B$5=C63),C63&lt;&gt;"legal",OR(D63="Partner or monitor",D63="Deprioritize")),F63,NA())</x:f>
        <x:v>#N/A</x:v>
      </x:c>
    </x:row>
    <x:row r="64">
      <x:c r="A64" s="21" t="str">
        <x:f>'Task Matrix'!B34</x:f>
        <x:v>life_sciences/gene_expression_differential_analysis_functional_enrichment_analysis_1</x:v>
      </x:c>
      <x:c r="B64" s="21" t="str">
        <x:f>'Task Matrix'!C34</x:f>
        <x:v>BRCA Differential Expression And KEGG Enrichment Analysis</x:v>
      </x:c>
      <x:c r="C64" s="21" t="str">
        <x:f>'Task Matrix'!D34</x:f>
        <x:v>life_sciences</x:v>
      </x:c>
      <x:c r="D64" s="21" t="str">
        <x:f>'Task Matrix'!AK34</x:f>
        <x:v>Validate next</x:v>
      </x:c>
      <x:c r="E64" s="66" t="n">
        <x:f>'Task Matrix'!AF34</x:f>
        <x:v>32436.459599999995</x:v>
      </x:c>
      <x:c r="F64" s="67" t="n">
        <x:f>'Task Matrix'!V34</x:f>
        <x:v>82</x:v>
      </x:c>
      <x:c r="G64" s="67" t="n">
        <x:f>'Task Matrix'!Y34</x:f>
        <x:v>80</x:v>
      </x:c>
      <x:c r="H64" s="67" t="e">
        <x:f>IF(AND(OR($B$5="All domains",$B$5=C64),C64="legal"),E64,NA())</x:f>
        <x:v>#N/A</x:v>
      </x:c>
      <x:c r="I64" s="67" t="e">
        <x:f>IF(AND(OR($B$5="All domains",$B$5=C64),C64="legal"),F64,NA())</x:f>
        <x:v>#N/A</x:v>
      </x:c>
      <x:c r="J64" s="67" t="e">
        <x:f>IF(AND(OR($B$5="All domains",$B$5=C64),C64&lt;&gt;"legal",D64="Build now"),E64,NA())</x:f>
        <x:v>#N/A</x:v>
      </x:c>
      <x:c r="K64" s="67" t="e">
        <x:f>IF(AND(OR($B$5="All domains",$B$5=C64),C64&lt;&gt;"legal",D64="Build now"),F64,NA())</x:f>
        <x:v>#N/A</x:v>
      </x:c>
      <x:c r="L64" s="67" t="n">
        <x:f>IF(AND(OR($B$5="All domains",$B$5=C64),C64&lt;&gt;"legal",D64="Validate next"),E64,NA())</x:f>
        <x:v>32436.459599999995</x:v>
      </x:c>
      <x:c r="M64" s="67" t="n">
        <x:f>IF(AND(OR($B$5="All domains",$B$5=C64),C64&lt;&gt;"legal",D64="Validate next"),F64,NA())</x:f>
        <x:v>82</x:v>
      </x:c>
      <x:c r="N64" s="67" t="e">
        <x:f>IF(AND(OR($B$5="All domains",$B$5=C64),C64&lt;&gt;"legal",OR(D64="Partner or monitor",D64="Deprioritize")),E64,NA())</x:f>
        <x:v>#N/A</x:v>
      </x:c>
      <x:c r="O64" s="67" t="e">
        <x:f>IF(AND(OR($B$5="All domains",$B$5=C64),C64&lt;&gt;"legal",OR(D64="Partner or monitor",D64="Deprioritize")),F64,NA())</x:f>
        <x:v>#N/A</x:v>
      </x:c>
    </x:row>
    <x:row r="65">
      <x:c r="A65" s="21" t="str">
        <x:f>'Task Matrix'!B35</x:f>
        <x:v>business_finance/legal_ma_consistency_audit_01</x:v>
      </x:c>
      <x:c r="B65" s="21" t="str">
        <x:f>'Task Matrix'!C35</x:f>
        <x:v>M&amp;A Filing Consistency Audit</x:v>
      </x:c>
      <x:c r="C65" s="21" t="str">
        <x:f>'Task Matrix'!D35</x:f>
        <x:v>business_finance</x:v>
      </x:c>
      <x:c r="D65" s="21" t="str">
        <x:f>'Task Matrix'!AK35</x:f>
        <x:v>Validate next</x:v>
      </x:c>
      <x:c r="E65" s="66" t="n">
        <x:f>'Task Matrix'!AF35</x:f>
        <x:v>34359.76412159999</x:v>
      </x:c>
      <x:c r="F65" s="67" t="n">
        <x:f>'Task Matrix'!V35</x:f>
        <x:v>70</x:v>
      </x:c>
      <x:c r="G65" s="67" t="n">
        <x:f>'Task Matrix'!Y35</x:f>
        <x:v>94</x:v>
      </x:c>
      <x:c r="H65" s="67" t="e">
        <x:f>IF(AND(OR($B$5="All domains",$B$5=C65),C65="legal"),E65,NA())</x:f>
        <x:v>#N/A</x:v>
      </x:c>
      <x:c r="I65" s="67" t="e">
        <x:f>IF(AND(OR($B$5="All domains",$B$5=C65),C65="legal"),F65,NA())</x:f>
        <x:v>#N/A</x:v>
      </x:c>
      <x:c r="J65" s="67" t="e">
        <x:f>IF(AND(OR($B$5="All domains",$B$5=C65),C65&lt;&gt;"legal",D65="Build now"),E65,NA())</x:f>
        <x:v>#N/A</x:v>
      </x:c>
      <x:c r="K65" s="67" t="e">
        <x:f>IF(AND(OR($B$5="All domains",$B$5=C65),C65&lt;&gt;"legal",D65="Build now"),F65,NA())</x:f>
        <x:v>#N/A</x:v>
      </x:c>
      <x:c r="L65" s="67" t="n">
        <x:f>IF(AND(OR($B$5="All domains",$B$5=C65),C65&lt;&gt;"legal",D65="Validate next"),E65,NA())</x:f>
        <x:v>34359.76412159999</x:v>
      </x:c>
      <x:c r="M65" s="67" t="n">
        <x:f>IF(AND(OR($B$5="All domains",$B$5=C65),C65&lt;&gt;"legal",D65="Validate next"),F65,NA())</x:f>
        <x:v>70</x:v>
      </x:c>
      <x:c r="N65" s="67" t="e">
        <x:f>IF(AND(OR($B$5="All domains",$B$5=C65),C65&lt;&gt;"legal",OR(D65="Partner or monitor",D65="Deprioritize")),E65,NA())</x:f>
        <x:v>#N/A</x:v>
      </x:c>
      <x:c r="O65" s="67" t="e">
        <x:f>IF(AND(OR($B$5="All domains",$B$5=C65),C65&lt;&gt;"legal",OR(D65="Partner or monitor",D65="Deprioritize")),F65,NA())</x:f>
        <x:v>#N/A</x:v>
      </x:c>
    </x:row>
    <x:row r="66">
      <x:c r="A66" s="21" t="str">
        <x:f>'Task Matrix'!B36</x:f>
        <x:v>business_finance/financial_stmt_reconstruction_aapl_fy2024</x:v>
      </x:c>
      <x:c r="B66" s="21" t="str">
        <x:f>'Task Matrix'!C36</x:f>
        <x:v>Apple FY2024 Balance Sheet Reconstruction</x:v>
      </x:c>
      <x:c r="C66" s="21" t="str">
        <x:f>'Task Matrix'!D36</x:f>
        <x:v>business_finance</x:v>
      </x:c>
      <x:c r="D66" s="21" t="str">
        <x:f>'Task Matrix'!AK36</x:f>
        <x:v>Validate next</x:v>
      </x:c>
      <x:c r="E66" s="66" t="n">
        <x:f>'Task Matrix'!AF36</x:f>
        <x:v>35864.18779199999</x:v>
      </x:c>
      <x:c r="F66" s="67" t="n">
        <x:f>'Task Matrix'!V36</x:f>
        <x:v>82</x:v>
      </x:c>
      <x:c r="G66" s="67" t="n">
        <x:f>'Task Matrix'!Y36</x:f>
        <x:v>80</x:v>
      </x:c>
      <x:c r="H66" s="67" t="e">
        <x:f>IF(AND(OR($B$5="All domains",$B$5=C66),C66="legal"),E66,NA())</x:f>
        <x:v>#N/A</x:v>
      </x:c>
      <x:c r="I66" s="67" t="e">
        <x:f>IF(AND(OR($B$5="All domains",$B$5=C66),C66="legal"),F66,NA())</x:f>
        <x:v>#N/A</x:v>
      </x:c>
      <x:c r="J66" s="67" t="e">
        <x:f>IF(AND(OR($B$5="All domains",$B$5=C66),C66&lt;&gt;"legal",D66="Build now"),E66,NA())</x:f>
        <x:v>#N/A</x:v>
      </x:c>
      <x:c r="K66" s="67" t="e">
        <x:f>IF(AND(OR($B$5="All domains",$B$5=C66),C66&lt;&gt;"legal",D66="Build now"),F66,NA())</x:f>
        <x:v>#N/A</x:v>
      </x:c>
      <x:c r="L66" s="67" t="n">
        <x:f>IF(AND(OR($B$5="All domains",$B$5=C66),C66&lt;&gt;"legal",D66="Validate next"),E66,NA())</x:f>
        <x:v>35864.18779199999</x:v>
      </x:c>
      <x:c r="M66" s="67" t="n">
        <x:f>IF(AND(OR($B$5="All domains",$B$5=C66),C66&lt;&gt;"legal",D66="Validate next"),F66,NA())</x:f>
        <x:v>82</x:v>
      </x:c>
      <x:c r="N66" s="67" t="e">
        <x:f>IF(AND(OR($B$5="All domains",$B$5=C66),C66&lt;&gt;"legal",OR(D66="Partner or monitor",D66="Deprioritize")),E66,NA())</x:f>
        <x:v>#N/A</x:v>
      </x:c>
      <x:c r="O66" s="67" t="e">
        <x:f>IF(AND(OR($B$5="All domains",$B$5=C66),C66&lt;&gt;"legal",OR(D66="Partner or monitor",D66="Deprioritize")),F66,NA())</x:f>
        <x:v>#N/A</x:v>
      </x:c>
    </x:row>
    <x:row r="67">
      <x:c r="A67" s="21" t="str">
        <x:f>'Task Matrix'!B37</x:f>
        <x:v>agriculture_env/crop_rotation_d02</x:v>
      </x:c>
      <x:c r="B67" s="21" t="str">
        <x:f>'Task Matrix'!C37</x:f>
        <x:v>Crop Rotation Audit for Stable Parcels</x:v>
      </x:c>
      <x:c r="C67" s="21" t="str">
        <x:f>'Task Matrix'!D37</x:f>
        <x:v>agriculture_env</x:v>
      </x:c>
      <x:c r="D67" s="21" t="str">
        <x:f>'Task Matrix'!AK37</x:f>
        <x:v>Validate next</x:v>
      </x:c>
      <x:c r="E67" s="66" t="n">
        <x:f>'Task Matrix'!AF37</x:f>
        <x:v>30240.278088</x:v>
      </x:c>
      <x:c r="F67" s="67" t="n">
        <x:f>'Task Matrix'!V37</x:f>
        <x:v>89</x:v>
      </x:c>
      <x:c r="G67" s="67" t="n">
        <x:f>'Task Matrix'!Y37</x:f>
        <x:v>80</x:v>
      </x:c>
      <x:c r="H67" s="67" t="e">
        <x:f>IF(AND(OR($B$5="All domains",$B$5=C67),C67="legal"),E67,NA())</x:f>
        <x:v>#N/A</x:v>
      </x:c>
      <x:c r="I67" s="67" t="e">
        <x:f>IF(AND(OR($B$5="All domains",$B$5=C67),C67="legal"),F67,NA())</x:f>
        <x:v>#N/A</x:v>
      </x:c>
      <x:c r="J67" s="67" t="e">
        <x:f>IF(AND(OR($B$5="All domains",$B$5=C67),C67&lt;&gt;"legal",D67="Build now"),E67,NA())</x:f>
        <x:v>#N/A</x:v>
      </x:c>
      <x:c r="K67" s="67" t="e">
        <x:f>IF(AND(OR($B$5="All domains",$B$5=C67),C67&lt;&gt;"legal",D67="Build now"),F67,NA())</x:f>
        <x:v>#N/A</x:v>
      </x:c>
      <x:c r="L67" s="67" t="n">
        <x:f>IF(AND(OR($B$5="All domains",$B$5=C67),C67&lt;&gt;"legal",D67="Validate next"),E67,NA())</x:f>
        <x:v>30240.278088</x:v>
      </x:c>
      <x:c r="M67" s="67" t="n">
        <x:f>IF(AND(OR($B$5="All domains",$B$5=C67),C67&lt;&gt;"legal",D67="Validate next"),F67,NA())</x:f>
        <x:v>89</x:v>
      </x:c>
      <x:c r="N67" s="67" t="e">
        <x:f>IF(AND(OR($B$5="All domains",$B$5=C67),C67&lt;&gt;"legal",OR(D67="Partner or monitor",D67="Deprioritize")),E67,NA())</x:f>
        <x:v>#N/A</x:v>
      </x:c>
      <x:c r="O67" s="67" t="e">
        <x:f>IF(AND(OR($B$5="All domains",$B$5=C67),C67&lt;&gt;"legal",OR(D67="Partner or monitor",D67="Deprioritize")),F67,NA())</x:f>
        <x:v>#N/A</x:v>
      </x:c>
    </x:row>
    <x:row r="68">
      <x:c r="A68" s="21" t="str">
        <x:f>'Task Matrix'!B38</x:f>
        <x:v>psychology_neuro/scene2_resample</x:v>
      </x:c>
      <x:c r="B68" s="21" t="str">
        <x:f>'Task Matrix'!C38</x:f>
        <x:v>Scene2 Resample</x:v>
      </x:c>
      <x:c r="C68" s="21" t="str">
        <x:f>'Task Matrix'!D38</x:f>
        <x:v>psychology_neuro</x:v>
      </x:c>
      <x:c r="D68" s="21" t="str">
        <x:f>'Task Matrix'!AK38</x:f>
        <x:v>Validate next</x:v>
      </x:c>
      <x:c r="E68" s="66" t="n">
        <x:f>'Task Matrix'!AF38</x:f>
        <x:v>29831.942831999997</x:v>
      </x:c>
      <x:c r="F68" s="67" t="n">
        <x:f>'Task Matrix'!V38</x:f>
        <x:v>82</x:v>
      </x:c>
      <x:c r="G68" s="67" t="n">
        <x:f>'Task Matrix'!Y38</x:f>
        <x:v>80</x:v>
      </x:c>
      <x:c r="H68" s="67" t="e">
        <x:f>IF(AND(OR($B$5="All domains",$B$5=C68),C68="legal"),E68,NA())</x:f>
        <x:v>#N/A</x:v>
      </x:c>
      <x:c r="I68" s="67" t="e">
        <x:f>IF(AND(OR($B$5="All domains",$B$5=C68),C68="legal"),F68,NA())</x:f>
        <x:v>#N/A</x:v>
      </x:c>
      <x:c r="J68" s="67" t="e">
        <x:f>IF(AND(OR($B$5="All domains",$B$5=C68),C68&lt;&gt;"legal",D68="Build now"),E68,NA())</x:f>
        <x:v>#N/A</x:v>
      </x:c>
      <x:c r="K68" s="67" t="e">
        <x:f>IF(AND(OR($B$5="All domains",$B$5=C68),C68&lt;&gt;"legal",D68="Build now"),F68,NA())</x:f>
        <x:v>#N/A</x:v>
      </x:c>
      <x:c r="L68" s="67" t="n">
        <x:f>IF(AND(OR($B$5="All domains",$B$5=C68),C68&lt;&gt;"legal",D68="Validate next"),E68,NA())</x:f>
        <x:v>29831.942831999997</x:v>
      </x:c>
      <x:c r="M68" s="67" t="n">
        <x:f>IF(AND(OR($B$5="All domains",$B$5=C68),C68&lt;&gt;"legal",D68="Validate next"),F68,NA())</x:f>
        <x:v>82</x:v>
      </x:c>
      <x:c r="N68" s="67" t="e">
        <x:f>IF(AND(OR($B$5="All domains",$B$5=C68),C68&lt;&gt;"legal",OR(D68="Partner or monitor",D68="Deprioritize")),E68,NA())</x:f>
        <x:v>#N/A</x:v>
      </x:c>
      <x:c r="O68" s="67" t="e">
        <x:f>IF(AND(OR($B$5="All domains",$B$5=C68),C68&lt;&gt;"legal",OR(D68="Partner or monitor",D68="Deprioritize")),F68,NA())</x:f>
        <x:v>#N/A</x:v>
      </x:c>
    </x:row>
    <x:row r="69">
      <x:c r="A69" s="21" t="str">
        <x:f>'Task Matrix'!B39</x:f>
        <x:v>computing_math/ghidra_malware_config_extraction_01</x:v>
      </x:c>
      <x:c r="B69" s="21" t="str">
        <x:f>'Task Matrix'!C39</x:f>
        <x:v>Ghidra Malware Config Extraction</x:v>
      </x:c>
      <x:c r="C69" s="21" t="str">
        <x:f>'Task Matrix'!D39</x:f>
        <x:v>computing_math</x:v>
      </x:c>
      <x:c r="D69" s="21" t="str">
        <x:f>'Task Matrix'!AK39</x:f>
        <x:v>Validate next</x:v>
      </x:c>
      <x:c r="E69" s="66" t="n">
        <x:f>'Task Matrix'!AF39</x:f>
        <x:v>35820.39745536</x:v>
      </x:c>
      <x:c r="F69" s="67" t="n">
        <x:f>'Task Matrix'!V39</x:f>
        <x:v>82</x:v>
      </x:c>
      <x:c r="G69" s="67" t="n">
        <x:f>'Task Matrix'!Y39</x:f>
        <x:v>80</x:v>
      </x:c>
      <x:c r="H69" s="67" t="e">
        <x:f>IF(AND(OR($B$5="All domains",$B$5=C69),C69="legal"),E69,NA())</x:f>
        <x:v>#N/A</x:v>
      </x:c>
      <x:c r="I69" s="67" t="e">
        <x:f>IF(AND(OR($B$5="All domains",$B$5=C69),C69="legal"),F69,NA())</x:f>
        <x:v>#N/A</x:v>
      </x:c>
      <x:c r="J69" s="67" t="e">
        <x:f>IF(AND(OR($B$5="All domains",$B$5=C69),C69&lt;&gt;"legal",D69="Build now"),E69,NA())</x:f>
        <x:v>#N/A</x:v>
      </x:c>
      <x:c r="K69" s="67" t="e">
        <x:f>IF(AND(OR($B$5="All domains",$B$5=C69),C69&lt;&gt;"legal",D69="Build now"),F69,NA())</x:f>
        <x:v>#N/A</x:v>
      </x:c>
      <x:c r="L69" s="67" t="n">
        <x:f>IF(AND(OR($B$5="All domains",$B$5=C69),C69&lt;&gt;"legal",D69="Validate next"),E69,NA())</x:f>
        <x:v>35820.39745536</x:v>
      </x:c>
      <x:c r="M69" s="67" t="n">
        <x:f>IF(AND(OR($B$5="All domains",$B$5=C69),C69&lt;&gt;"legal",D69="Validate next"),F69,NA())</x:f>
        <x:v>82</x:v>
      </x:c>
      <x:c r="N69" s="67" t="e">
        <x:f>IF(AND(OR($B$5="All domains",$B$5=C69),C69&lt;&gt;"legal",OR(D69="Partner or monitor",D69="Deprioritize")),E69,NA())</x:f>
        <x:v>#N/A</x:v>
      </x:c>
      <x:c r="O69" s="67" t="e">
        <x:f>IF(AND(OR($B$5="All domains",$B$5=C69),C69&lt;&gt;"legal",OR(D69="Partner or monitor",D69="Deprioritize")),F69,NA())</x:f>
        <x:v>#N/A</x:v>
      </x:c>
    </x:row>
    <x:row r="70">
      <x:c r="A70" s="21" t="str">
        <x:f>'Task Matrix'!B40</x:f>
        <x:v>computing_math/cp_test_gen_1</x:v>
      </x:c>
      <x:c r="B70" s="21" t="str">
        <x:f>'Task Matrix'!C40</x:f>
        <x:v>Competitive Programming Test Generator — Binary String Copying</x:v>
      </x:c>
      <x:c r="C70" s="21" t="str">
        <x:f>'Task Matrix'!D40</x:f>
        <x:v>computing_math</x:v>
      </x:c>
      <x:c r="D70" s="21" t="str">
        <x:f>'Task Matrix'!AK40</x:f>
        <x:v>Validate next</x:v>
      </x:c>
      <x:c r="E70" s="66" t="n">
        <x:f>'Task Matrix'!AF40</x:f>
        <x:v>36006.26685759999</x:v>
      </x:c>
      <x:c r="F70" s="67" t="n">
        <x:f>'Task Matrix'!V40</x:f>
        <x:v>72</x:v>
      </x:c>
      <x:c r="G70" s="67" t="n">
        <x:f>'Task Matrix'!Y40</x:f>
        <x:v>76</x:v>
      </x:c>
      <x:c r="H70" s="67" t="e">
        <x:f>IF(AND(OR($B$5="All domains",$B$5=C70),C70="legal"),E70,NA())</x:f>
        <x:v>#N/A</x:v>
      </x:c>
      <x:c r="I70" s="67" t="e">
        <x:f>IF(AND(OR($B$5="All domains",$B$5=C70),C70="legal"),F70,NA())</x:f>
        <x:v>#N/A</x:v>
      </x:c>
      <x:c r="J70" s="67" t="e">
        <x:f>IF(AND(OR($B$5="All domains",$B$5=C70),C70&lt;&gt;"legal",D70="Build now"),E70,NA())</x:f>
        <x:v>#N/A</x:v>
      </x:c>
      <x:c r="K70" s="67" t="e">
        <x:f>IF(AND(OR($B$5="All domains",$B$5=C70),C70&lt;&gt;"legal",D70="Build now"),F70,NA())</x:f>
        <x:v>#N/A</x:v>
      </x:c>
      <x:c r="L70" s="67" t="n">
        <x:f>IF(AND(OR($B$5="All domains",$B$5=C70),C70&lt;&gt;"legal",D70="Validate next"),E70,NA())</x:f>
        <x:v>36006.26685759999</x:v>
      </x:c>
      <x:c r="M70" s="67" t="n">
        <x:f>IF(AND(OR($B$5="All domains",$B$5=C70),C70&lt;&gt;"legal",D70="Validate next"),F70,NA())</x:f>
        <x:v>72</x:v>
      </x:c>
      <x:c r="N70" s="67" t="e">
        <x:f>IF(AND(OR($B$5="All domains",$B$5=C70),C70&lt;&gt;"legal",OR(D70="Partner or monitor",D70="Deprioritize")),E70,NA())</x:f>
        <x:v>#N/A</x:v>
      </x:c>
      <x:c r="O70" s="67" t="e">
        <x:f>IF(AND(OR($B$5="All domains",$B$5=C70),C70&lt;&gt;"legal",OR(D70="Partner or monitor",D70="Deprioritize")),F70,NA())</x:f>
        <x:v>#N/A</x:v>
      </x:c>
    </x:row>
    <x:row r="71">
      <x:c r="A71" s="21" t="str">
        <x:f>'Task Matrix'!B41</x:f>
        <x:v>business_finance/internal_employee_agent_instance_1</x:v>
      </x:c>
      <x:c r="B71" s="21" t="str">
        <x:f>'Task Matrix'!C41</x:f>
        <x:v>Internal Employee Agent Conversation Replay</x:v>
      </x:c>
      <x:c r="C71" s="21" t="str">
        <x:f>'Task Matrix'!D41</x:f>
        <x:v>business_finance</x:v>
      </x:c>
      <x:c r="D71" s="21" t="str">
        <x:f>'Task Matrix'!AK41</x:f>
        <x:v>Validate next</x:v>
      </x:c>
      <x:c r="E71" s="66" t="n">
        <x:f>'Task Matrix'!AF41</x:f>
        <x:v>30767.153927999992</x:v>
      </x:c>
      <x:c r="F71" s="67" t="n">
        <x:f>'Task Matrix'!V41</x:f>
        <x:v>73</x:v>
      </x:c>
      <x:c r="G71" s="67" t="n">
        <x:f>'Task Matrix'!Y41</x:f>
        <x:v>86</x:v>
      </x:c>
      <x:c r="H71" s="67" t="e">
        <x:f>IF(AND(OR($B$5="All domains",$B$5=C71),C71="legal"),E71,NA())</x:f>
        <x:v>#N/A</x:v>
      </x:c>
      <x:c r="I71" s="67" t="e">
        <x:f>IF(AND(OR($B$5="All domains",$B$5=C71),C71="legal"),F71,NA())</x:f>
        <x:v>#N/A</x:v>
      </x:c>
      <x:c r="J71" s="67" t="e">
        <x:f>IF(AND(OR($B$5="All domains",$B$5=C71),C71&lt;&gt;"legal",D71="Build now"),E71,NA())</x:f>
        <x:v>#N/A</x:v>
      </x:c>
      <x:c r="K71" s="67" t="e">
        <x:f>IF(AND(OR($B$5="All domains",$B$5=C71),C71&lt;&gt;"legal",D71="Build now"),F71,NA())</x:f>
        <x:v>#N/A</x:v>
      </x:c>
      <x:c r="L71" s="67" t="n">
        <x:f>IF(AND(OR($B$5="All domains",$B$5=C71),C71&lt;&gt;"legal",D71="Validate next"),E71,NA())</x:f>
        <x:v>30767.153927999992</x:v>
      </x:c>
      <x:c r="M71" s="67" t="n">
        <x:f>IF(AND(OR($B$5="All domains",$B$5=C71),C71&lt;&gt;"legal",D71="Validate next"),F71,NA())</x:f>
        <x:v>73</x:v>
      </x:c>
      <x:c r="N71" s="67" t="e">
        <x:f>IF(AND(OR($B$5="All domains",$B$5=C71),C71&lt;&gt;"legal",OR(D71="Partner or monitor",D71="Deprioritize")),E71,NA())</x:f>
        <x:v>#N/A</x:v>
      </x:c>
      <x:c r="O71" s="67" t="e">
        <x:f>IF(AND(OR($B$5="All domains",$B$5=C71),C71&lt;&gt;"legal",OR(D71="Partner or monitor",D71="Deprioritize")),F71,NA())</x:f>
        <x:v>#N/A</x:v>
      </x:c>
    </x:row>
    <x:row r="72">
      <x:c r="A72" s="21" t="str">
        <x:f>'Task Matrix'!B42</x:f>
        <x:v>health_medicine/healthcare_tcga_luad_survival_kras</x:v>
      </x:c>
      <x:c r="B72" s="21" t="str">
        <x:f>'Task Matrix'!C42</x:f>
        <x:v>TCGA LUAD KRAS Survival Analysis</x:v>
      </x:c>
      <x:c r="C72" s="21" t="str">
        <x:f>'Task Matrix'!D42</x:f>
        <x:v>health_medicine</x:v>
      </x:c>
      <x:c r="D72" s="21" t="str">
        <x:f>'Task Matrix'!AK42</x:f>
        <x:v>Validate next</x:v>
      </x:c>
      <x:c r="E72" s="66" t="n">
        <x:f>'Task Matrix'!AF42</x:f>
        <x:v>45545.27207424</x:v>
      </x:c>
      <x:c r="F72" s="67" t="n">
        <x:f>'Task Matrix'!V42</x:f>
        <x:v>72</x:v>
      </x:c>
      <x:c r="G72" s="67" t="n">
        <x:f>'Task Matrix'!Y42</x:f>
        <x:v>88</x:v>
      </x:c>
      <x:c r="H72" s="67" t="e">
        <x:f>IF(AND(OR($B$5="All domains",$B$5=C72),C72="legal"),E72,NA())</x:f>
        <x:v>#N/A</x:v>
      </x:c>
      <x:c r="I72" s="67" t="e">
        <x:f>IF(AND(OR($B$5="All domains",$B$5=C72),C72="legal"),F72,NA())</x:f>
        <x:v>#N/A</x:v>
      </x:c>
      <x:c r="J72" s="67" t="e">
        <x:f>IF(AND(OR($B$5="All domains",$B$5=C72),C72&lt;&gt;"legal",D72="Build now"),E72,NA())</x:f>
        <x:v>#N/A</x:v>
      </x:c>
      <x:c r="K72" s="67" t="e">
        <x:f>IF(AND(OR($B$5="All domains",$B$5=C72),C72&lt;&gt;"legal",D72="Build now"),F72,NA())</x:f>
        <x:v>#N/A</x:v>
      </x:c>
      <x:c r="L72" s="67" t="n">
        <x:f>IF(AND(OR($B$5="All domains",$B$5=C72),C72&lt;&gt;"legal",D72="Validate next"),E72,NA())</x:f>
        <x:v>45545.27207424</x:v>
      </x:c>
      <x:c r="M72" s="67" t="n">
        <x:f>IF(AND(OR($B$5="All domains",$B$5=C72),C72&lt;&gt;"legal",D72="Validate next"),F72,NA())</x:f>
        <x:v>72</x:v>
      </x:c>
      <x:c r="N72" s="67" t="e">
        <x:f>IF(AND(OR($B$5="All domains",$B$5=C72),C72&lt;&gt;"legal",OR(D72="Partner or monitor",D72="Deprioritize")),E72,NA())</x:f>
        <x:v>#N/A</x:v>
      </x:c>
      <x:c r="O72" s="67" t="e">
        <x:f>IF(AND(OR($B$5="All domains",$B$5=C72),C72&lt;&gt;"legal",OR(D72="Partner or monitor",D72="Deprioritize")),F72,NA())</x:f>
        <x:v>#N/A</x:v>
      </x:c>
    </x:row>
    <x:row r="73">
      <x:c r="A73" s="21" t="str">
        <x:f>'Task Matrix'!B43</x:f>
        <x:v>computing_math/clustered_cyclic_code_circuit_level_simulation</x:v>
      </x:c>
      <x:c r="B73" s="21" t="str">
        <x:f>'Task Matrix'!C43</x:f>
        <x:v>Clustered-Cyclic Code Circuit Simulation</x:v>
      </x:c>
      <x:c r="C73" s="21" t="str">
        <x:f>'Task Matrix'!D43</x:f>
        <x:v>computing_math</x:v>
      </x:c>
      <x:c r="D73" s="21" t="str">
        <x:f>'Task Matrix'!AK43</x:f>
        <x:v>Validate next</x:v>
      </x:c>
      <x:c r="E73" s="66" t="n">
        <x:f>'Task Matrix'!AF43</x:f>
        <x:v>25968.8916096</x:v>
      </x:c>
      <x:c r="F73" s="67" t="n">
        <x:f>'Task Matrix'!V43</x:f>
        <x:v>82</x:v>
      </x:c>
      <x:c r="G73" s="67" t="n">
        <x:f>'Task Matrix'!Y43</x:f>
        <x:v>80</x:v>
      </x:c>
      <x:c r="H73" s="67" t="e">
        <x:f>IF(AND(OR($B$5="All domains",$B$5=C73),C73="legal"),E73,NA())</x:f>
        <x:v>#N/A</x:v>
      </x:c>
      <x:c r="I73" s="67" t="e">
        <x:f>IF(AND(OR($B$5="All domains",$B$5=C73),C73="legal"),F73,NA())</x:f>
        <x:v>#N/A</x:v>
      </x:c>
      <x:c r="J73" s="67" t="e">
        <x:f>IF(AND(OR($B$5="All domains",$B$5=C73),C73&lt;&gt;"legal",D73="Build now"),E73,NA())</x:f>
        <x:v>#N/A</x:v>
      </x:c>
      <x:c r="K73" s="67" t="e">
        <x:f>IF(AND(OR($B$5="All domains",$B$5=C73),C73&lt;&gt;"legal",D73="Build now"),F73,NA())</x:f>
        <x:v>#N/A</x:v>
      </x:c>
      <x:c r="L73" s="67" t="n">
        <x:f>IF(AND(OR($B$5="All domains",$B$5=C73),C73&lt;&gt;"legal",D73="Validate next"),E73,NA())</x:f>
        <x:v>25968.8916096</x:v>
      </x:c>
      <x:c r="M73" s="67" t="n">
        <x:f>IF(AND(OR($B$5="All domains",$B$5=C73),C73&lt;&gt;"legal",D73="Validate next"),F73,NA())</x:f>
        <x:v>82</x:v>
      </x:c>
      <x:c r="N73" s="67" t="e">
        <x:f>IF(AND(OR($B$5="All domains",$B$5=C73),C73&lt;&gt;"legal",OR(D73="Partner or monitor",D73="Deprioritize")),E73,NA())</x:f>
        <x:v>#N/A</x:v>
      </x:c>
      <x:c r="O73" s="67" t="e">
        <x:f>IF(AND(OR($B$5="All domains",$B$5=C73),C73&lt;&gt;"legal",OR(D73="Partner or monitor",D73="Deprioritize")),F73,NA())</x:f>
        <x:v>#N/A</x:v>
      </x:c>
    </x:row>
    <x:row r="74">
      <x:c r="A74" s="21" t="str">
        <x:f>'Task Matrix'!B44</x:f>
        <x:v>engineering/humanoid_velocity_tracking_policy</x:v>
      </x:c>
      <x:c r="B74" s="21" t="str">
        <x:f>'Task Matrix'!C44</x:f>
        <x:v>Humanoid Velocity Tracking Policy</x:v>
      </x:c>
      <x:c r="C74" s="21" t="str">
        <x:f>'Task Matrix'!D44</x:f>
        <x:v>engineering</x:v>
      </x:c>
      <x:c r="D74" s="21" t="str">
        <x:f>'Task Matrix'!AK44</x:f>
        <x:v>Validate next</x:v>
      </x:c>
      <x:c r="E74" s="66" t="n">
        <x:f>'Task Matrix'!AF44</x:f>
        <x:v>48092.69548032001</x:v>
      </x:c>
      <x:c r="F74" s="67" t="n">
        <x:f>'Task Matrix'!V44</x:f>
        <x:v>79</x:v>
      </x:c>
      <x:c r="G74" s="67" t="n">
        <x:f>'Task Matrix'!Y44</x:f>
        <x:v>80</x:v>
      </x:c>
      <x:c r="H74" s="67" t="e">
        <x:f>IF(AND(OR($B$5="All domains",$B$5=C74),C74="legal"),E74,NA())</x:f>
        <x:v>#N/A</x:v>
      </x:c>
      <x:c r="I74" s="67" t="e">
        <x:f>IF(AND(OR($B$5="All domains",$B$5=C74),C74="legal"),F74,NA())</x:f>
        <x:v>#N/A</x:v>
      </x:c>
      <x:c r="J74" s="67" t="e">
        <x:f>IF(AND(OR($B$5="All domains",$B$5=C74),C74&lt;&gt;"legal",D74="Build now"),E74,NA())</x:f>
        <x:v>#N/A</x:v>
      </x:c>
      <x:c r="K74" s="67" t="e">
        <x:f>IF(AND(OR($B$5="All domains",$B$5=C74),C74&lt;&gt;"legal",D74="Build now"),F74,NA())</x:f>
        <x:v>#N/A</x:v>
      </x:c>
      <x:c r="L74" s="67" t="n">
        <x:f>IF(AND(OR($B$5="All domains",$B$5=C74),C74&lt;&gt;"legal",D74="Validate next"),E74,NA())</x:f>
        <x:v>48092.69548032001</x:v>
      </x:c>
      <x:c r="M74" s="67" t="n">
        <x:f>IF(AND(OR($B$5="All domains",$B$5=C74),C74&lt;&gt;"legal",D74="Validate next"),F74,NA())</x:f>
        <x:v>79</x:v>
      </x:c>
      <x:c r="N74" s="67" t="e">
        <x:f>IF(AND(OR($B$5="All domains",$B$5=C74),C74&lt;&gt;"legal",OR(D74="Partner or monitor",D74="Deprioritize")),E74,NA())</x:f>
        <x:v>#N/A</x:v>
      </x:c>
      <x:c r="O74" s="67" t="e">
        <x:f>IF(AND(OR($B$5="All domains",$B$5=C74),C74&lt;&gt;"legal",OR(D74="Partner or monitor",D74="Deprioritize")),F74,NA())</x:f>
        <x:v>#N/A</x:v>
      </x:c>
    </x:row>
    <x:row r="75">
      <x:c r="A75" s="21" t="str">
        <x:f>'Task Matrix'!B45</x:f>
        <x:v>education_info/marc_remediation_folio_overlay</x:v>
      </x:c>
      <x:c r="B75" s="21" t="str">
        <x:f>'Task Matrix'!C45</x:f>
        <x:v>MARC Remediation FOLIO Overlay</x:v>
      </x:c>
      <x:c r="C75" s="21" t="str">
        <x:f>'Task Matrix'!D45</x:f>
        <x:v>education_info</x:v>
      </x:c>
      <x:c r="D75" s="21" t="str">
        <x:f>'Task Matrix'!AK45</x:f>
        <x:v>Validate next</x:v>
      </x:c>
      <x:c r="E75" s="66" t="n">
        <x:f>'Task Matrix'!AF45</x:f>
        <x:v>24861.499008</x:v>
      </x:c>
      <x:c r="F75" s="67" t="n">
        <x:f>'Task Matrix'!V45</x:f>
        <x:v>89</x:v>
      </x:c>
      <x:c r="G75" s="67" t="n">
        <x:f>'Task Matrix'!Y45</x:f>
        <x:v>80</x:v>
      </x:c>
      <x:c r="H75" s="67" t="e">
        <x:f>IF(AND(OR($B$5="All domains",$B$5=C75),C75="legal"),E75,NA())</x:f>
        <x:v>#N/A</x:v>
      </x:c>
      <x:c r="I75" s="67" t="e">
        <x:f>IF(AND(OR($B$5="All domains",$B$5=C75),C75="legal"),F75,NA())</x:f>
        <x:v>#N/A</x:v>
      </x:c>
      <x:c r="J75" s="67" t="e">
        <x:f>IF(AND(OR($B$5="All domains",$B$5=C75),C75&lt;&gt;"legal",D75="Build now"),E75,NA())</x:f>
        <x:v>#N/A</x:v>
      </x:c>
      <x:c r="K75" s="67" t="e">
        <x:f>IF(AND(OR($B$5="All domains",$B$5=C75),C75&lt;&gt;"legal",D75="Build now"),F75,NA())</x:f>
        <x:v>#N/A</x:v>
      </x:c>
      <x:c r="L75" s="67" t="n">
        <x:f>IF(AND(OR($B$5="All domains",$B$5=C75),C75&lt;&gt;"legal",D75="Validate next"),E75,NA())</x:f>
        <x:v>24861.499008</x:v>
      </x:c>
      <x:c r="M75" s="67" t="n">
        <x:f>IF(AND(OR($B$5="All domains",$B$5=C75),C75&lt;&gt;"legal",D75="Validate next"),F75,NA())</x:f>
        <x:v>89</x:v>
      </x:c>
      <x:c r="N75" s="67" t="e">
        <x:f>IF(AND(OR($B$5="All domains",$B$5=C75),C75&lt;&gt;"legal",OR(D75="Partner or monitor",D75="Deprioritize")),E75,NA())</x:f>
        <x:v>#N/A</x:v>
      </x:c>
      <x:c r="O75" s="67" t="e">
        <x:f>IF(AND(OR($B$5="All domains",$B$5=C75),C75&lt;&gt;"legal",OR(D75="Partner or monitor",D75="Deprioritize")),F75,NA())</x:f>
        <x:v>#N/A</x:v>
      </x:c>
    </x:row>
    <x:row r="76">
      <x:c r="A76" s="21" t="str">
        <x:f>'Task Matrix'!B46</x:f>
        <x:v>health_medicine/nsclc_radiomics_cox_signature_v1</x:v>
      </x:c>
      <x:c r="B76" s="21" t="str">
        <x:f>'Task Matrix'!C46</x:f>
        <x:v>NSCLC Radiomics Cox Signature</x:v>
      </x:c>
      <x:c r="C76" s="21" t="str">
        <x:f>'Task Matrix'!D46</x:f>
        <x:v>health_medicine</x:v>
      </x:c>
      <x:c r="D76" s="21" t="str">
        <x:f>'Task Matrix'!AK46</x:f>
        <x:v>Validate next</x:v>
      </x:c>
      <x:c r="E76" s="66" t="n">
        <x:f>'Task Matrix'!AF46</x:f>
        <x:v>45545.27207424</x:v>
      </x:c>
      <x:c r="F76" s="67" t="n">
        <x:f>'Task Matrix'!V46</x:f>
        <x:v>72</x:v>
      </x:c>
      <x:c r="G76" s="67" t="n">
        <x:f>'Task Matrix'!Y46</x:f>
        <x:v>88</x:v>
      </x:c>
      <x:c r="H76" s="67" t="e">
        <x:f>IF(AND(OR($B$5="All domains",$B$5=C76),C76="legal"),E76,NA())</x:f>
        <x:v>#N/A</x:v>
      </x:c>
      <x:c r="I76" s="67" t="e">
        <x:f>IF(AND(OR($B$5="All domains",$B$5=C76),C76="legal"),F76,NA())</x:f>
        <x:v>#N/A</x:v>
      </x:c>
      <x:c r="J76" s="67" t="e">
        <x:f>IF(AND(OR($B$5="All domains",$B$5=C76),C76&lt;&gt;"legal",D76="Build now"),E76,NA())</x:f>
        <x:v>#N/A</x:v>
      </x:c>
      <x:c r="K76" s="67" t="e">
        <x:f>IF(AND(OR($B$5="All domains",$B$5=C76),C76&lt;&gt;"legal",D76="Build now"),F76,NA())</x:f>
        <x:v>#N/A</x:v>
      </x:c>
      <x:c r="L76" s="67" t="n">
        <x:f>IF(AND(OR($B$5="All domains",$B$5=C76),C76&lt;&gt;"legal",D76="Validate next"),E76,NA())</x:f>
        <x:v>45545.27207424</x:v>
      </x:c>
      <x:c r="M76" s="67" t="n">
        <x:f>IF(AND(OR($B$5="All domains",$B$5=C76),C76&lt;&gt;"legal",D76="Validate next"),F76,NA())</x:f>
        <x:v>72</x:v>
      </x:c>
      <x:c r="N76" s="67" t="e">
        <x:f>IF(AND(OR($B$5="All domains",$B$5=C76),C76&lt;&gt;"legal",OR(D76="Partner or monitor",D76="Deprioritize")),E76,NA())</x:f>
        <x:v>#N/A</x:v>
      </x:c>
      <x:c r="O76" s="67" t="e">
        <x:f>IF(AND(OR($B$5="All domains",$B$5=C76),C76&lt;&gt;"legal",OR(D76="Partner or monitor",D76="Deprioritize")),F76,NA())</x:f>
        <x:v>#N/A</x:v>
      </x:c>
    </x:row>
    <x:row r="77">
      <x:c r="A77" s="21" t="str">
        <x:f>'Task Matrix'!B47</x:f>
        <x:v>computing_math/paper_reproduction_instance_1</x:v>
      </x:c>
      <x:c r="B77" s="21" t="str">
        <x:f>'Task Matrix'!C47</x:f>
        <x:v>LCA-on-the-Line Table 2 Reproduction</x:v>
      </x:c>
      <x:c r="C77" s="21" t="str">
        <x:f>'Task Matrix'!D47</x:f>
        <x:v>computing_math</x:v>
      </x:c>
      <x:c r="D77" s="21" t="str">
        <x:f>'Task Matrix'!AK47</x:f>
        <x:v>Validate next</x:v>
      </x:c>
      <x:c r="E77" s="66" t="n">
        <x:f>'Task Matrix'!AF47</x:f>
        <x:v>25968.8916096</x:v>
      </x:c>
      <x:c r="F77" s="67" t="n">
        <x:f>'Task Matrix'!V47</x:f>
        <x:v>82</x:v>
      </x:c>
      <x:c r="G77" s="67" t="n">
        <x:f>'Task Matrix'!Y47</x:f>
        <x:v>80</x:v>
      </x:c>
      <x:c r="H77" s="67" t="e">
        <x:f>IF(AND(OR($B$5="All domains",$B$5=C77),C77="legal"),E77,NA())</x:f>
        <x:v>#N/A</x:v>
      </x:c>
      <x:c r="I77" s="67" t="e">
        <x:f>IF(AND(OR($B$5="All domains",$B$5=C77),C77="legal"),F77,NA())</x:f>
        <x:v>#N/A</x:v>
      </x:c>
      <x:c r="J77" s="67" t="e">
        <x:f>IF(AND(OR($B$5="All domains",$B$5=C77),C77&lt;&gt;"legal",D77="Build now"),E77,NA())</x:f>
        <x:v>#N/A</x:v>
      </x:c>
      <x:c r="K77" s="67" t="e">
        <x:f>IF(AND(OR($B$5="All domains",$B$5=C77),C77&lt;&gt;"legal",D77="Build now"),F77,NA())</x:f>
        <x:v>#N/A</x:v>
      </x:c>
      <x:c r="L77" s="67" t="n">
        <x:f>IF(AND(OR($B$5="All domains",$B$5=C77),C77&lt;&gt;"legal",D77="Validate next"),E77,NA())</x:f>
        <x:v>25968.8916096</x:v>
      </x:c>
      <x:c r="M77" s="67" t="n">
        <x:f>IF(AND(OR($B$5="All domains",$B$5=C77),C77&lt;&gt;"legal",D77="Validate next"),F77,NA())</x:f>
        <x:v>82</x:v>
      </x:c>
      <x:c r="N77" s="67" t="e">
        <x:f>IF(AND(OR($B$5="All domains",$B$5=C77),C77&lt;&gt;"legal",OR(D77="Partner or monitor",D77="Deprioritize")),E77,NA())</x:f>
        <x:v>#N/A</x:v>
      </x:c>
      <x:c r="O77" s="67" t="e">
        <x:f>IF(AND(OR($B$5="All domains",$B$5=C77),C77&lt;&gt;"legal",OR(D77="Partner or monitor",D77="Deprioritize")),F77,NA())</x:f>
        <x:v>#N/A</x:v>
      </x:c>
    </x:row>
    <x:row r="78">
      <x:c r="A78" s="21" t="str">
        <x:f>'Task Matrix'!B48</x:f>
        <x:v>visual_media/compress_3dgs_scene_ply</x:v>
      </x:c>
      <x:c r="B78" s="21" t="str">
        <x:f>'Task Matrix'!C48</x:f>
        <x:v>Compress A 3D Gaussian Splatting Scene</x:v>
      </x:c>
      <x:c r="C78" s="21" t="str">
        <x:f>'Task Matrix'!D48</x:f>
        <x:v>visual_media</x:v>
      </x:c>
      <x:c r="D78" s="21" t="str">
        <x:f>'Task Matrix'!AK48</x:f>
        <x:v>Validate next</x:v>
      </x:c>
      <x:c r="E78" s="66" t="n">
        <x:f>'Task Matrix'!AF48</x:f>
        <x:v>31132.519526399992</x:v>
      </x:c>
      <x:c r="F78" s="67" t="n">
        <x:f>'Task Matrix'!V48</x:f>
        <x:v>82</x:v>
      </x:c>
      <x:c r="G78" s="67" t="n">
        <x:f>'Task Matrix'!Y48</x:f>
        <x:v>80</x:v>
      </x:c>
      <x:c r="H78" s="67" t="e">
        <x:f>IF(AND(OR($B$5="All domains",$B$5=C78),C78="legal"),E78,NA())</x:f>
        <x:v>#N/A</x:v>
      </x:c>
      <x:c r="I78" s="67" t="e">
        <x:f>IF(AND(OR($B$5="All domains",$B$5=C78),C78="legal"),F78,NA())</x:f>
        <x:v>#N/A</x:v>
      </x:c>
      <x:c r="J78" s="67" t="e">
        <x:f>IF(AND(OR($B$5="All domains",$B$5=C78),C78&lt;&gt;"legal",D78="Build now"),E78,NA())</x:f>
        <x:v>#N/A</x:v>
      </x:c>
      <x:c r="K78" s="67" t="e">
        <x:f>IF(AND(OR($B$5="All domains",$B$5=C78),C78&lt;&gt;"legal",D78="Build now"),F78,NA())</x:f>
        <x:v>#N/A</x:v>
      </x:c>
      <x:c r="L78" s="67" t="n">
        <x:f>IF(AND(OR($B$5="All domains",$B$5=C78),C78&lt;&gt;"legal",D78="Validate next"),E78,NA())</x:f>
        <x:v>31132.519526399992</x:v>
      </x:c>
      <x:c r="M78" s="67" t="n">
        <x:f>IF(AND(OR($B$5="All domains",$B$5=C78),C78&lt;&gt;"legal",D78="Validate next"),F78,NA())</x:f>
        <x:v>82</x:v>
      </x:c>
      <x:c r="N78" s="67" t="e">
        <x:f>IF(AND(OR($B$5="All domains",$B$5=C78),C78&lt;&gt;"legal",OR(D78="Partner or monitor",D78="Deprioritize")),E78,NA())</x:f>
        <x:v>#N/A</x:v>
      </x:c>
      <x:c r="O78" s="67" t="e">
        <x:f>IF(AND(OR($B$5="All domains",$B$5=C78),C78&lt;&gt;"legal",OR(D78="Partner or monitor",D78="Deprioritize")),F78,NA())</x:f>
        <x:v>#N/A</x:v>
      </x:c>
    </x:row>
    <x:row r="79">
      <x:c r="A79" s="21" t="str">
        <x:f>'Task Matrix'!B49</x:f>
        <x:v>business_finance/bpmn_supply_disruption_l3</x:v>
      </x:c>
      <x:c r="B79" s="21" t="str">
        <x:f>'Task Matrix'!C49</x:f>
        <x:v>Flowable BPMN Supply Disruption L3</x:v>
      </x:c>
      <x:c r="C79" s="21" t="str">
        <x:f>'Task Matrix'!D49</x:f>
        <x:v>business_finance</x:v>
      </x:c>
      <x:c r="D79" s="21" t="str">
        <x:f>'Task Matrix'!AK49</x:f>
        <x:v>Validate next</x:v>
      </x:c>
      <x:c r="E79" s="66" t="n">
        <x:f>'Task Matrix'!AF49</x:f>
        <x:v>31183.491024</x:v>
      </x:c>
      <x:c r="F79" s="67" t="n">
        <x:f>'Task Matrix'!V49</x:f>
        <x:v>74</x:v>
      </x:c>
      <x:c r="G79" s="67" t="n">
        <x:f>'Task Matrix'!Y49</x:f>
        <x:v>74</x:v>
      </x:c>
      <x:c r="H79" s="67" t="e">
        <x:f>IF(AND(OR($B$5="All domains",$B$5=C79),C79="legal"),E79,NA())</x:f>
        <x:v>#N/A</x:v>
      </x:c>
      <x:c r="I79" s="67" t="e">
        <x:f>IF(AND(OR($B$5="All domains",$B$5=C79),C79="legal"),F79,NA())</x:f>
        <x:v>#N/A</x:v>
      </x:c>
      <x:c r="J79" s="67" t="e">
        <x:f>IF(AND(OR($B$5="All domains",$B$5=C79),C79&lt;&gt;"legal",D79="Build now"),E79,NA())</x:f>
        <x:v>#N/A</x:v>
      </x:c>
      <x:c r="K79" s="67" t="e">
        <x:f>IF(AND(OR($B$5="All domains",$B$5=C79),C79&lt;&gt;"legal",D79="Build now"),F79,NA())</x:f>
        <x:v>#N/A</x:v>
      </x:c>
      <x:c r="L79" s="67" t="n">
        <x:f>IF(AND(OR($B$5="All domains",$B$5=C79),C79&lt;&gt;"legal",D79="Validate next"),E79,NA())</x:f>
        <x:v>31183.491024</x:v>
      </x:c>
      <x:c r="M79" s="67" t="n">
        <x:f>IF(AND(OR($B$5="All domains",$B$5=C79),C79&lt;&gt;"legal",D79="Validate next"),F79,NA())</x:f>
        <x:v>74</x:v>
      </x:c>
      <x:c r="N79" s="67" t="e">
        <x:f>IF(AND(OR($B$5="All domains",$B$5=C79),C79&lt;&gt;"legal",OR(D79="Partner or monitor",D79="Deprioritize")),E79,NA())</x:f>
        <x:v>#N/A</x:v>
      </x:c>
      <x:c r="O79" s="67" t="e">
        <x:f>IF(AND(OR($B$5="All domains",$B$5=C79),C79&lt;&gt;"legal",OR(D79="Partner or monitor",D79="Deprioritize")),F79,NA())</x:f>
        <x:v>#N/A</x:v>
      </x:c>
    </x:row>
    <x:row r="80">
      <x:c r="A80" s="21" t="str">
        <x:f>'Task Matrix'!B50</x:f>
        <x:v>business_finance/sec_10k_financial_parsing</x:v>
      </x:c>
      <x:c r="B80" s="21" t="str">
        <x:f>'Task Matrix'!C50</x:f>
        <x:v>SEC 10-K Financial Parsing</x:v>
      </x:c>
      <x:c r="C80" s="21" t="str">
        <x:f>'Task Matrix'!D50</x:f>
        <x:v>business_finance</x:v>
      </x:c>
      <x:c r="D80" s="21" t="str">
        <x:f>'Task Matrix'!AK50</x:f>
        <x:v>Validate next</x:v>
      </x:c>
      <x:c r="E80" s="66" t="n">
        <x:f>'Task Matrix'!AF50</x:f>
        <x:v>25719.294940000003</x:v>
      </x:c>
      <x:c r="F80" s="67" t="n">
        <x:f>'Task Matrix'!V50</x:f>
        <x:v>73</x:v>
      </x:c>
      <x:c r="G80" s="67" t="n">
        <x:f>'Task Matrix'!Y50</x:f>
        <x:v>86</x:v>
      </x:c>
      <x:c r="H80" s="67" t="e">
        <x:f>IF(AND(OR($B$5="All domains",$B$5=C80),C80="legal"),E80,NA())</x:f>
        <x:v>#N/A</x:v>
      </x:c>
      <x:c r="I80" s="67" t="e">
        <x:f>IF(AND(OR($B$5="All domains",$B$5=C80),C80="legal"),F80,NA())</x:f>
        <x:v>#N/A</x:v>
      </x:c>
      <x:c r="J80" s="67" t="e">
        <x:f>IF(AND(OR($B$5="All domains",$B$5=C80),C80&lt;&gt;"legal",D80="Build now"),E80,NA())</x:f>
        <x:v>#N/A</x:v>
      </x:c>
      <x:c r="K80" s="67" t="e">
        <x:f>IF(AND(OR($B$5="All domains",$B$5=C80),C80&lt;&gt;"legal",D80="Build now"),F80,NA())</x:f>
        <x:v>#N/A</x:v>
      </x:c>
      <x:c r="L80" s="67" t="n">
        <x:f>IF(AND(OR($B$5="All domains",$B$5=C80),C80&lt;&gt;"legal",D80="Validate next"),E80,NA())</x:f>
        <x:v>25719.294940000003</x:v>
      </x:c>
      <x:c r="M80" s="67" t="n">
        <x:f>IF(AND(OR($B$5="All domains",$B$5=C80),C80&lt;&gt;"legal",D80="Validate next"),F80,NA())</x:f>
        <x:v>73</x:v>
      </x:c>
      <x:c r="N80" s="67" t="e">
        <x:f>IF(AND(OR($B$5="All domains",$B$5=C80),C80&lt;&gt;"legal",OR(D80="Partner or monitor",D80="Deprioritize")),E80,NA())</x:f>
        <x:v>#N/A</x:v>
      </x:c>
      <x:c r="O80" s="67" t="e">
        <x:f>IF(AND(OR($B$5="All domains",$B$5=C80),C80&lt;&gt;"legal",OR(D80="Partner or monitor",D80="Deprioritize")),F80,NA())</x:f>
        <x:v>#N/A</x:v>
      </x:c>
    </x:row>
    <x:row r="81">
      <x:c r="A81" s="21" t="str">
        <x:f>'Task Matrix'!B51</x:f>
        <x:v>business_finance/bpmn_category_governance_restructuring_l3</x:v>
      </x:c>
      <x:c r="B81" s="21" t="str">
        <x:f>'Task Matrix'!C51</x:f>
        <x:v>Flowable BPMN Category Governance Restructuring L3</x:v>
      </x:c>
      <x:c r="C81" s="21" t="str">
        <x:f>'Task Matrix'!D51</x:f>
        <x:v>business_finance</x:v>
      </x:c>
      <x:c r="D81" s="21" t="str">
        <x:f>'Task Matrix'!AK51</x:f>
        <x:v>Validate next</x:v>
      </x:c>
      <x:c r="E81" s="66" t="n">
        <x:f>'Task Matrix'!AF51</x:f>
        <x:v>31183.491024</x:v>
      </x:c>
      <x:c r="F81" s="67" t="n">
        <x:f>'Task Matrix'!V51</x:f>
        <x:v>74</x:v>
      </x:c>
      <x:c r="G81" s="67" t="n">
        <x:f>'Task Matrix'!Y51</x:f>
        <x:v>74</x:v>
      </x:c>
      <x:c r="H81" s="67" t="e">
        <x:f>IF(AND(OR($B$5="All domains",$B$5=C81),C81="legal"),E81,NA())</x:f>
        <x:v>#N/A</x:v>
      </x:c>
      <x:c r="I81" s="67" t="e">
        <x:f>IF(AND(OR($B$5="All domains",$B$5=C81),C81="legal"),F81,NA())</x:f>
        <x:v>#N/A</x:v>
      </x:c>
      <x:c r="J81" s="67" t="e">
        <x:f>IF(AND(OR($B$5="All domains",$B$5=C81),C81&lt;&gt;"legal",D81="Build now"),E81,NA())</x:f>
        <x:v>#N/A</x:v>
      </x:c>
      <x:c r="K81" s="67" t="e">
        <x:f>IF(AND(OR($B$5="All domains",$B$5=C81),C81&lt;&gt;"legal",D81="Build now"),F81,NA())</x:f>
        <x:v>#N/A</x:v>
      </x:c>
      <x:c r="L81" s="67" t="n">
        <x:f>IF(AND(OR($B$5="All domains",$B$5=C81),C81&lt;&gt;"legal",D81="Validate next"),E81,NA())</x:f>
        <x:v>31183.491024</x:v>
      </x:c>
      <x:c r="M81" s="67" t="n">
        <x:f>IF(AND(OR($B$5="All domains",$B$5=C81),C81&lt;&gt;"legal",D81="Validate next"),F81,NA())</x:f>
        <x:v>74</x:v>
      </x:c>
      <x:c r="N81" s="67" t="e">
        <x:f>IF(AND(OR($B$5="All domains",$B$5=C81),C81&lt;&gt;"legal",OR(D81="Partner or monitor",D81="Deprioritize")),E81,NA())</x:f>
        <x:v>#N/A</x:v>
      </x:c>
      <x:c r="O81" s="67" t="e">
        <x:f>IF(AND(OR($B$5="All domains",$B$5=C81),C81&lt;&gt;"legal",OR(D81="Partner or monitor",D81="Deprioritize")),F81,NA())</x:f>
        <x:v>#N/A</x:v>
      </x:c>
    </x:row>
    <x:row r="82">
      <x:c r="A82" s="21" t="str">
        <x:f>'Task Matrix'!B52</x:f>
        <x:v>physical_sciences/egt710_table1_smiles_extraction</x:v>
      </x:c>
      <x:c r="B82" s="21" t="str">
        <x:f>'Task Matrix'!C52</x:f>
        <x:v>Egt710 Table1 SMILES Extraction</x:v>
      </x:c>
      <x:c r="C82" s="21" t="str">
        <x:f>'Task Matrix'!D52</x:f>
        <x:v>physical_sciences</x:v>
      </x:c>
      <x:c r="D82" s="21" t="str">
        <x:f>'Task Matrix'!AK52</x:f>
        <x:v>Validate next</x:v>
      </x:c>
      <x:c r="E82" s="66" t="n">
        <x:f>'Task Matrix'!AF52</x:f>
        <x:v>24297.344699999994</x:v>
      </x:c>
      <x:c r="F82" s="67" t="n">
        <x:f>'Task Matrix'!V52</x:f>
        <x:v>82</x:v>
      </x:c>
      <x:c r="G82" s="67" t="n">
        <x:f>'Task Matrix'!Y52</x:f>
        <x:v>80</x:v>
      </x:c>
      <x:c r="H82" s="67" t="e">
        <x:f>IF(AND(OR($B$5="All domains",$B$5=C82),C82="legal"),E82,NA())</x:f>
        <x:v>#N/A</x:v>
      </x:c>
      <x:c r="I82" s="67" t="e">
        <x:f>IF(AND(OR($B$5="All domains",$B$5=C82),C82="legal"),F82,NA())</x:f>
        <x:v>#N/A</x:v>
      </x:c>
      <x:c r="J82" s="67" t="e">
        <x:f>IF(AND(OR($B$5="All domains",$B$5=C82),C82&lt;&gt;"legal",D82="Build now"),E82,NA())</x:f>
        <x:v>#N/A</x:v>
      </x:c>
      <x:c r="K82" s="67" t="e">
        <x:f>IF(AND(OR($B$5="All domains",$B$5=C82),C82&lt;&gt;"legal",D82="Build now"),F82,NA())</x:f>
        <x:v>#N/A</x:v>
      </x:c>
      <x:c r="L82" s="67" t="n">
        <x:f>IF(AND(OR($B$5="All domains",$B$5=C82),C82&lt;&gt;"legal",D82="Validate next"),E82,NA())</x:f>
        <x:v>24297.344699999994</x:v>
      </x:c>
      <x:c r="M82" s="67" t="n">
        <x:f>IF(AND(OR($B$5="All domains",$B$5=C82),C82&lt;&gt;"legal",D82="Validate next"),F82,NA())</x:f>
        <x:v>82</x:v>
      </x:c>
      <x:c r="N82" s="67" t="e">
        <x:f>IF(AND(OR($B$5="All domains",$B$5=C82),C82&lt;&gt;"legal",OR(D82="Partner or monitor",D82="Deprioritize")),E82,NA())</x:f>
        <x:v>#N/A</x:v>
      </x:c>
      <x:c r="O82" s="67" t="e">
        <x:f>IF(AND(OR($B$5="All domains",$B$5=C82),C82&lt;&gt;"legal",OR(D82="Partner or monitor",D82="Deprioritize")),F82,NA())</x:f>
        <x:v>#N/A</x:v>
      </x:c>
    </x:row>
    <x:row r="83">
      <x:c r="A83" s="21" t="str">
        <x:f>'Task Matrix'!B53</x:f>
        <x:v>physical_sciences/lenacapavir_sar_table2_extraction</x:v>
      </x:c>
      <x:c r="B83" s="21" t="str">
        <x:f>'Task Matrix'!C53</x:f>
        <x:v>Lenacapavir SAR Table2 Extraction</x:v>
      </x:c>
      <x:c r="C83" s="21" t="str">
        <x:f>'Task Matrix'!D53</x:f>
        <x:v>physical_sciences</x:v>
      </x:c>
      <x:c r="D83" s="21" t="str">
        <x:f>'Task Matrix'!AK53</x:f>
        <x:v>Validate next</x:v>
      </x:c>
      <x:c r="E83" s="66" t="n">
        <x:f>'Task Matrix'!AF53</x:f>
        <x:v>24238.222800000003</x:v>
      </x:c>
      <x:c r="F83" s="67" t="n">
        <x:f>'Task Matrix'!V53</x:f>
        <x:v>66</x:v>
      </x:c>
      <x:c r="G83" s="67" t="n">
        <x:f>'Task Matrix'!Y53</x:f>
        <x:v>86</x:v>
      </x:c>
      <x:c r="H83" s="67" t="e">
        <x:f>IF(AND(OR($B$5="All domains",$B$5=C83),C83="legal"),E83,NA())</x:f>
        <x:v>#N/A</x:v>
      </x:c>
      <x:c r="I83" s="67" t="e">
        <x:f>IF(AND(OR($B$5="All domains",$B$5=C83),C83="legal"),F83,NA())</x:f>
        <x:v>#N/A</x:v>
      </x:c>
      <x:c r="J83" s="67" t="e">
        <x:f>IF(AND(OR($B$5="All domains",$B$5=C83),C83&lt;&gt;"legal",D83="Build now"),E83,NA())</x:f>
        <x:v>#N/A</x:v>
      </x:c>
      <x:c r="K83" s="67" t="e">
        <x:f>IF(AND(OR($B$5="All domains",$B$5=C83),C83&lt;&gt;"legal",D83="Build now"),F83,NA())</x:f>
        <x:v>#N/A</x:v>
      </x:c>
      <x:c r="L83" s="67" t="n">
        <x:f>IF(AND(OR($B$5="All domains",$B$5=C83),C83&lt;&gt;"legal",D83="Validate next"),E83,NA())</x:f>
        <x:v>24238.222800000003</x:v>
      </x:c>
      <x:c r="M83" s="67" t="n">
        <x:f>IF(AND(OR($B$5="All domains",$B$5=C83),C83&lt;&gt;"legal",D83="Validate next"),F83,NA())</x:f>
        <x:v>66</x:v>
      </x:c>
      <x:c r="N83" s="67" t="e">
        <x:f>IF(AND(OR($B$5="All domains",$B$5=C83),C83&lt;&gt;"legal",OR(D83="Partner or monitor",D83="Deprioritize")),E83,NA())</x:f>
        <x:v>#N/A</x:v>
      </x:c>
      <x:c r="O83" s="67" t="e">
        <x:f>IF(AND(OR($B$5="All domains",$B$5=C83),C83&lt;&gt;"legal",OR(D83="Partner or monitor",D83="Deprioritize")),F83,NA())</x:f>
        <x:v>#N/A</x:v>
      </x:c>
    </x:row>
    <x:row r="84">
      <x:c r="A84" s="21" t="str">
        <x:f>'Task Matrix'!B54</x:f>
        <x:v>health_medicine/prostate_imrt_matrad_reproduction</x:v>
      </x:c>
      <x:c r="B84" s="21" t="str">
        <x:f>'Task Matrix'!C54</x:f>
        <x:v>Prostate IMRT matRad Reproduction</x:v>
      </x:c>
      <x:c r="C84" s="21" t="str">
        <x:f>'Task Matrix'!D54</x:f>
        <x:v>health_medicine</x:v>
      </x:c>
      <x:c r="D84" s="21" t="str">
        <x:f>'Task Matrix'!AK54</x:f>
        <x:v>Validate next</x:v>
      </x:c>
      <x:c r="E84" s="66" t="n">
        <x:f>'Task Matrix'!AF54</x:f>
        <x:v>66821.09067648</x:v>
      </x:c>
      <x:c r="F84" s="67" t="n">
        <x:f>'Task Matrix'!V54</x:f>
        <x:v>71</x:v>
      </x:c>
      <x:c r="G84" s="67" t="n">
        <x:f>'Task Matrix'!Y54</x:f>
        <x:v>74</x:v>
      </x:c>
      <x:c r="H84" s="67" t="e">
        <x:f>IF(AND(OR($B$5="All domains",$B$5=C84),C84="legal"),E84,NA())</x:f>
        <x:v>#N/A</x:v>
      </x:c>
      <x:c r="I84" s="67" t="e">
        <x:f>IF(AND(OR($B$5="All domains",$B$5=C84),C84="legal"),F84,NA())</x:f>
        <x:v>#N/A</x:v>
      </x:c>
      <x:c r="J84" s="67" t="e">
        <x:f>IF(AND(OR($B$5="All domains",$B$5=C84),C84&lt;&gt;"legal",D84="Build now"),E84,NA())</x:f>
        <x:v>#N/A</x:v>
      </x:c>
      <x:c r="K84" s="67" t="e">
        <x:f>IF(AND(OR($B$5="All domains",$B$5=C84),C84&lt;&gt;"legal",D84="Build now"),F84,NA())</x:f>
        <x:v>#N/A</x:v>
      </x:c>
      <x:c r="L84" s="67" t="n">
        <x:f>IF(AND(OR($B$5="All domains",$B$5=C84),C84&lt;&gt;"legal",D84="Validate next"),E84,NA())</x:f>
        <x:v>66821.09067648</x:v>
      </x:c>
      <x:c r="M84" s="67" t="n">
        <x:f>IF(AND(OR($B$5="All domains",$B$5=C84),C84&lt;&gt;"legal",D84="Validate next"),F84,NA())</x:f>
        <x:v>71</x:v>
      </x:c>
      <x:c r="N84" s="67" t="e">
        <x:f>IF(AND(OR($B$5="All domains",$B$5=C84),C84&lt;&gt;"legal",OR(D84="Partner or monitor",D84="Deprioritize")),E84,NA())</x:f>
        <x:v>#N/A</x:v>
      </x:c>
      <x:c r="O84" s="67" t="e">
        <x:f>IF(AND(OR($B$5="All domains",$B$5=C84),C84&lt;&gt;"legal",OR(D84="Partner or monitor",D84="Deprioritize")),F84,NA())</x:f>
        <x:v>#N/A</x:v>
      </x:c>
    </x:row>
    <x:row r="85">
      <x:c r="A85" s="21" t="str">
        <x:f>'Task Matrix'!B55</x:f>
        <x:v>life_sciences/cell_translocation_analysis</x:v>
      </x:c>
      <x:c r="B85" s="21" t="str">
        <x:f>'Task Matrix'!C55</x:f>
        <x:v>Cell Translocation Analysis</x:v>
      </x:c>
      <x:c r="C85" s="21" t="str">
        <x:f>'Task Matrix'!D55</x:f>
        <x:v>life_sciences</x:v>
      </x:c>
      <x:c r="D85" s="21" t="str">
        <x:f>'Task Matrix'!AK55</x:f>
        <x:v>Partner or monitor</x:v>
      </x:c>
      <x:c r="E85" s="66" t="n">
        <x:f>'Task Matrix'!AF55</x:f>
        <x:v>45433.72600000001</x:v>
      </x:c>
      <x:c r="F85" s="67" t="n">
        <x:f>'Task Matrix'!V55</x:f>
        <x:v>44</x:v>
      </x:c>
      <x:c r="G85" s="67" t="n">
        <x:f>'Task Matrix'!Y55</x:f>
        <x:v>72</x:v>
      </x:c>
      <x:c r="H85" s="67" t="e">
        <x:f>IF(AND(OR($B$5="All domains",$B$5=C85),C85="legal"),E85,NA())</x:f>
        <x:v>#N/A</x:v>
      </x:c>
      <x:c r="I85" s="67" t="e">
        <x:f>IF(AND(OR($B$5="All domains",$B$5=C85),C85="legal"),F85,NA())</x:f>
        <x:v>#N/A</x:v>
      </x:c>
      <x:c r="J85" s="67" t="e">
        <x:f>IF(AND(OR($B$5="All domains",$B$5=C85),C85&lt;&gt;"legal",D85="Build now"),E85,NA())</x:f>
        <x:v>#N/A</x:v>
      </x:c>
      <x:c r="K85" s="67" t="e">
        <x:f>IF(AND(OR($B$5="All domains",$B$5=C85),C85&lt;&gt;"legal",D85="Build now"),F85,NA())</x:f>
        <x:v>#N/A</x:v>
      </x:c>
      <x:c r="L85" s="67" t="e">
        <x:f>IF(AND(OR($B$5="All domains",$B$5=C85),C85&lt;&gt;"legal",D85="Validate next"),E85,NA())</x:f>
        <x:v>#N/A</x:v>
      </x:c>
      <x:c r="M85" s="67" t="e">
        <x:f>IF(AND(OR($B$5="All domains",$B$5=C85),C85&lt;&gt;"legal",D85="Validate next"),F85,NA())</x:f>
        <x:v>#N/A</x:v>
      </x:c>
      <x:c r="N85" s="67" t="n">
        <x:f>IF(AND(OR($B$5="All domains",$B$5=C85),C85&lt;&gt;"legal",OR(D85="Partner or monitor",D85="Deprioritize")),E85,NA())</x:f>
        <x:v>45433.72600000001</x:v>
      </x:c>
      <x:c r="O85" s="67" t="n">
        <x:f>IF(AND(OR($B$5="All domains",$B$5=C85),C85&lt;&gt;"legal",OR(D85="Partner or monitor",D85="Deprioritize")),F85,NA())</x:f>
        <x:v>44</x:v>
      </x:c>
    </x:row>
    <x:row r="86">
      <x:c r="A86" s="21" t="str">
        <x:f>'Task Matrix'!B56</x:f>
        <x:v>business_finance/ff5_public_reconstruction</x:v>
      </x:c>
      <x:c r="B86" s="21" t="str">
        <x:f>'Task Matrix'!C56</x:f>
        <x:v>FF5 Public Reconstruction</x:v>
      </x:c>
      <x:c r="C86" s="21" t="str">
        <x:f>'Task Matrix'!D56</x:f>
        <x:v>business_finance</x:v>
      </x:c>
      <x:c r="D86" s="21" t="str">
        <x:f>'Task Matrix'!AK56</x:f>
        <x:v>Validate next</x:v>
      </x:c>
      <x:c r="E86" s="66" t="n">
        <x:f>'Task Matrix'!AF56</x:f>
        <x:v>31183.491024</x:v>
      </x:c>
      <x:c r="F86" s="67" t="n">
        <x:f>'Task Matrix'!V56</x:f>
        <x:v>74</x:v>
      </x:c>
      <x:c r="G86" s="67" t="n">
        <x:f>'Task Matrix'!Y56</x:f>
        <x:v>66</x:v>
      </x:c>
      <x:c r="H86" s="67" t="e">
        <x:f>IF(AND(OR($B$5="All domains",$B$5=C86),C86="legal"),E86,NA())</x:f>
        <x:v>#N/A</x:v>
      </x:c>
      <x:c r="I86" s="67" t="e">
        <x:f>IF(AND(OR($B$5="All domains",$B$5=C86),C86="legal"),F86,NA())</x:f>
        <x:v>#N/A</x:v>
      </x:c>
      <x:c r="J86" s="67" t="e">
        <x:f>IF(AND(OR($B$5="All domains",$B$5=C86),C86&lt;&gt;"legal",D86="Build now"),E86,NA())</x:f>
        <x:v>#N/A</x:v>
      </x:c>
      <x:c r="K86" s="67" t="e">
        <x:f>IF(AND(OR($B$5="All domains",$B$5=C86),C86&lt;&gt;"legal",D86="Build now"),F86,NA())</x:f>
        <x:v>#N/A</x:v>
      </x:c>
      <x:c r="L86" s="67" t="n">
        <x:f>IF(AND(OR($B$5="All domains",$B$5=C86),C86&lt;&gt;"legal",D86="Validate next"),E86,NA())</x:f>
        <x:v>31183.491024</x:v>
      </x:c>
      <x:c r="M86" s="67" t="n">
        <x:f>IF(AND(OR($B$5="All domains",$B$5=C86),C86&lt;&gt;"legal",D86="Validate next"),F86,NA())</x:f>
        <x:v>74</x:v>
      </x:c>
      <x:c r="N86" s="67" t="e">
        <x:f>IF(AND(OR($B$5="All domains",$B$5=C86),C86&lt;&gt;"legal",OR(D86="Partner or monitor",D86="Deprioritize")),E86,NA())</x:f>
        <x:v>#N/A</x:v>
      </x:c>
      <x:c r="O86" s="67" t="e">
        <x:f>IF(AND(OR($B$5="All domains",$B$5=C86),C86&lt;&gt;"legal",OR(D86="Partner or monitor",D86="Deprioritize")),F86,NA())</x:f>
        <x:v>#N/A</x:v>
      </x:c>
    </x:row>
    <x:row r="87">
      <x:c r="A87" s="21" t="str">
        <x:f>'Task Matrix'!B57</x:f>
        <x:v>business_finance/digital_marketing_audience_segmentation_1</x:v>
      </x:c>
      <x:c r="B87" s="21" t="str">
        <x:f>'Task Matrix'!C57</x:f>
        <x:v>Digital Marketing Audience Segmentation</x:v>
      </x:c>
      <x:c r="C87" s="21" t="str">
        <x:f>'Task Matrix'!D57</x:f>
        <x:v>business_finance</x:v>
      </x:c>
      <x:c r="D87" s="21" t="str">
        <x:f>'Task Matrix'!AK57</x:f>
        <x:v>Validate next</x:v>
      </x:c>
      <x:c r="E87" s="66" t="n">
        <x:f>'Task Matrix'!AF57</x:f>
        <x:v>31183.491024</x:v>
      </x:c>
      <x:c r="F87" s="67" t="n">
        <x:f>'Task Matrix'!V57</x:f>
        <x:v>74</x:v>
      </x:c>
      <x:c r="G87" s="67" t="n">
        <x:f>'Task Matrix'!Y57</x:f>
        <x:v>66</x:v>
      </x:c>
      <x:c r="H87" s="67" t="e">
        <x:f>IF(AND(OR($B$5="All domains",$B$5=C87),C87="legal"),E87,NA())</x:f>
        <x:v>#N/A</x:v>
      </x:c>
      <x:c r="I87" s="67" t="e">
        <x:f>IF(AND(OR($B$5="All domains",$B$5=C87),C87="legal"),F87,NA())</x:f>
        <x:v>#N/A</x:v>
      </x:c>
      <x:c r="J87" s="67" t="e">
        <x:f>IF(AND(OR($B$5="All domains",$B$5=C87),C87&lt;&gt;"legal",D87="Build now"),E87,NA())</x:f>
        <x:v>#N/A</x:v>
      </x:c>
      <x:c r="K87" s="67" t="e">
        <x:f>IF(AND(OR($B$5="All domains",$B$5=C87),C87&lt;&gt;"legal",D87="Build now"),F87,NA())</x:f>
        <x:v>#N/A</x:v>
      </x:c>
      <x:c r="L87" s="67" t="n">
        <x:f>IF(AND(OR($B$5="All domains",$B$5=C87),C87&lt;&gt;"legal",D87="Validate next"),E87,NA())</x:f>
        <x:v>31183.491024</x:v>
      </x:c>
      <x:c r="M87" s="67" t="n">
        <x:f>IF(AND(OR($B$5="All domains",$B$5=C87),C87&lt;&gt;"legal",D87="Validate next"),F87,NA())</x:f>
        <x:v>74</x:v>
      </x:c>
      <x:c r="N87" s="67" t="e">
        <x:f>IF(AND(OR($B$5="All domains",$B$5=C87),C87&lt;&gt;"legal",OR(D87="Partner or monitor",D87="Deprioritize")),E87,NA())</x:f>
        <x:v>#N/A</x:v>
      </x:c>
      <x:c r="O87" s="67" t="e">
        <x:f>IF(AND(OR($B$5="All domains",$B$5=C87),C87&lt;&gt;"legal",OR(D87="Partner or monitor",D87="Deprioritize")),F87,NA())</x:f>
        <x:v>#N/A</x:v>
      </x:c>
    </x:row>
    <x:row r="88">
      <x:c r="A88" s="21" t="str">
        <x:f>'Task Matrix'!B58</x:f>
        <x:v>business_finance/ar_full_300</x:v>
      </x:c>
      <x:c r="B88" s="21" t="str">
        <x:f>'Task Matrix'!C58</x:f>
        <x:v>Annual Report Full Extraction (300 files)</x:v>
      </x:c>
      <x:c r="C88" s="21" t="str">
        <x:f>'Task Matrix'!D58</x:f>
        <x:v>business_finance</x:v>
      </x:c>
      <x:c r="D88" s="21" t="str">
        <x:f>'Task Matrix'!AK58</x:f>
        <x:v>Validate next</x:v>
      </x:c>
      <x:c r="E88" s="66" t="n">
        <x:f>'Task Matrix'!AF58</x:f>
        <x:v>26554.279120000003</x:v>
      </x:c>
      <x:c r="F88" s="67" t="n">
        <x:f>'Task Matrix'!V58</x:f>
        <x:v>56</x:v>
      </x:c>
      <x:c r="G88" s="67" t="n">
        <x:f>'Task Matrix'!Y58</x:f>
        <x:v>82</x:v>
      </x:c>
      <x:c r="H88" s="67" t="e">
        <x:f>IF(AND(OR($B$5="All domains",$B$5=C88),C88="legal"),E88,NA())</x:f>
        <x:v>#N/A</x:v>
      </x:c>
      <x:c r="I88" s="67" t="e">
        <x:f>IF(AND(OR($B$5="All domains",$B$5=C88),C88="legal"),F88,NA())</x:f>
        <x:v>#N/A</x:v>
      </x:c>
      <x:c r="J88" s="67" t="e">
        <x:f>IF(AND(OR($B$5="All domains",$B$5=C88),C88&lt;&gt;"legal",D88="Build now"),E88,NA())</x:f>
        <x:v>#N/A</x:v>
      </x:c>
      <x:c r="K88" s="67" t="e">
        <x:f>IF(AND(OR($B$5="All domains",$B$5=C88),C88&lt;&gt;"legal",D88="Build now"),F88,NA())</x:f>
        <x:v>#N/A</x:v>
      </x:c>
      <x:c r="L88" s="67" t="n">
        <x:f>IF(AND(OR($B$5="All domains",$B$5=C88),C88&lt;&gt;"legal",D88="Validate next"),E88,NA())</x:f>
        <x:v>26554.279120000003</x:v>
      </x:c>
      <x:c r="M88" s="67" t="n">
        <x:f>IF(AND(OR($B$5="All domains",$B$5=C88),C88&lt;&gt;"legal",D88="Validate next"),F88,NA())</x:f>
        <x:v>56</x:v>
      </x:c>
      <x:c r="N88" s="67" t="e">
        <x:f>IF(AND(OR($B$5="All domains",$B$5=C88),C88&lt;&gt;"legal",OR(D88="Partner or monitor",D88="Deprioritize")),E88,NA())</x:f>
        <x:v>#N/A</x:v>
      </x:c>
      <x:c r="O88" s="67" t="e">
        <x:f>IF(AND(OR($B$5="All domains",$B$5=C88),C88&lt;&gt;"legal",OR(D88="Partner or monitor",D88="Deprioritize")),F88,NA())</x:f>
        <x:v>#N/A</x:v>
      </x:c>
    </x:row>
    <x:row r="89">
      <x:c r="A89" s="21" t="str">
        <x:f>'Task Matrix'!B59</x:f>
        <x:v>life_sciences/amber_minimization_script_prep_instance_1</x:v>
      </x:c>
      <x:c r="B89" s="21" t="str">
        <x:f>'Task Matrix'!C59</x:f>
        <x:v>Amber Implicit-Solvent Minimization Workflow Construction</x:v>
      </x:c>
      <x:c r="C89" s="21" t="str">
        <x:f>'Task Matrix'!D59</x:f>
        <x:v>life_sciences</x:v>
      </x:c>
      <x:c r="D89" s="21" t="str">
        <x:f>'Task Matrix'!AK59</x:f>
        <x:v>Validate next</x:v>
      </x:c>
      <x:c r="E89" s="66" t="n">
        <x:f>'Task Matrix'!AF59</x:f>
        <x:v>27312.5616</x:v>
      </x:c>
      <x:c r="F89" s="67" t="n">
        <x:f>'Task Matrix'!V59</x:f>
        <x:v>72</x:v>
      </x:c>
      <x:c r="G89" s="67" t="n">
        <x:f>'Task Matrix'!Y59</x:f>
        <x:v>76</x:v>
      </x:c>
      <x:c r="H89" s="67" t="e">
        <x:f>IF(AND(OR($B$5="All domains",$B$5=C89),C89="legal"),E89,NA())</x:f>
        <x:v>#N/A</x:v>
      </x:c>
      <x:c r="I89" s="67" t="e">
        <x:f>IF(AND(OR($B$5="All domains",$B$5=C89),C89="legal"),F89,NA())</x:f>
        <x:v>#N/A</x:v>
      </x:c>
      <x:c r="J89" s="67" t="e">
        <x:f>IF(AND(OR($B$5="All domains",$B$5=C89),C89&lt;&gt;"legal",D89="Build now"),E89,NA())</x:f>
        <x:v>#N/A</x:v>
      </x:c>
      <x:c r="K89" s="67" t="e">
        <x:f>IF(AND(OR($B$5="All domains",$B$5=C89),C89&lt;&gt;"legal",D89="Build now"),F89,NA())</x:f>
        <x:v>#N/A</x:v>
      </x:c>
      <x:c r="L89" s="67" t="n">
        <x:f>IF(AND(OR($B$5="All domains",$B$5=C89),C89&lt;&gt;"legal",D89="Validate next"),E89,NA())</x:f>
        <x:v>27312.5616</x:v>
      </x:c>
      <x:c r="M89" s="67" t="n">
        <x:f>IF(AND(OR($B$5="All domains",$B$5=C89),C89&lt;&gt;"legal",D89="Validate next"),F89,NA())</x:f>
        <x:v>72</x:v>
      </x:c>
      <x:c r="N89" s="67" t="e">
        <x:f>IF(AND(OR($B$5="All domains",$B$5=C89),C89&lt;&gt;"legal",OR(D89="Partner or monitor",D89="Deprioritize")),E89,NA())</x:f>
        <x:v>#N/A</x:v>
      </x:c>
      <x:c r="O89" s="67" t="e">
        <x:f>IF(AND(OR($B$5="All domains",$B$5=C89),C89&lt;&gt;"legal",OR(D89="Partner or monitor",D89="Deprioritize")),F89,NA())</x:f>
        <x:v>#N/A</x:v>
      </x:c>
    </x:row>
    <x:row r="90">
      <x:c r="A90" s="21" t="str">
        <x:f>'Task Matrix'!B60</x:f>
        <x:v>health_medicine/scene3_skullstrip_qc</x:v>
      </x:c>
      <x:c r="B90" s="21" t="str">
        <x:f>'Task Matrix'!C60</x:f>
        <x:v>Scene3 Skullstrip QC</x:v>
      </x:c>
      <x:c r="C90" s="21" t="str">
        <x:f>'Task Matrix'!D60</x:f>
        <x:v>health_medicine</x:v>
      </x:c>
      <x:c r="D90" s="21" t="str">
        <x:f>'Task Matrix'!AK60</x:f>
        <x:v>Partner or monitor</x:v>
      </x:c>
      <x:c r="E90" s="66" t="n">
        <x:f>'Task Matrix'!AF60</x:f>
        <x:v>98643.95775999999</x:v>
      </x:c>
      <x:c r="F90" s="67" t="n">
        <x:f>'Task Matrix'!V60</x:f>
        <x:v>44</x:v>
      </x:c>
      <x:c r="G90" s="67" t="n">
        <x:f>'Task Matrix'!Y60</x:f>
        <x:v>72</x:v>
      </x:c>
      <x:c r="H90" s="67" t="e">
        <x:f>IF(AND(OR($B$5="All domains",$B$5=C90),C90="legal"),E90,NA())</x:f>
        <x:v>#N/A</x:v>
      </x:c>
      <x:c r="I90" s="67" t="e">
        <x:f>IF(AND(OR($B$5="All domains",$B$5=C90),C90="legal"),F90,NA())</x:f>
        <x:v>#N/A</x:v>
      </x:c>
      <x:c r="J90" s="67" t="e">
        <x:f>IF(AND(OR($B$5="All domains",$B$5=C90),C90&lt;&gt;"legal",D90="Build now"),E90,NA())</x:f>
        <x:v>#N/A</x:v>
      </x:c>
      <x:c r="K90" s="67" t="e">
        <x:f>IF(AND(OR($B$5="All domains",$B$5=C90),C90&lt;&gt;"legal",D90="Build now"),F90,NA())</x:f>
        <x:v>#N/A</x:v>
      </x:c>
      <x:c r="L90" s="67" t="e">
        <x:f>IF(AND(OR($B$5="All domains",$B$5=C90),C90&lt;&gt;"legal",D90="Validate next"),E90,NA())</x:f>
        <x:v>#N/A</x:v>
      </x:c>
      <x:c r="M90" s="67" t="e">
        <x:f>IF(AND(OR($B$5="All domains",$B$5=C90),C90&lt;&gt;"legal",D90="Validate next"),F90,NA())</x:f>
        <x:v>#N/A</x:v>
      </x:c>
      <x:c r="N90" s="67" t="n">
        <x:f>IF(AND(OR($B$5="All domains",$B$5=C90),C90&lt;&gt;"legal",OR(D90="Partner or monitor",D90="Deprioritize")),E90,NA())</x:f>
        <x:v>98643.95775999999</x:v>
      </x:c>
      <x:c r="O90" s="67" t="n">
        <x:f>IF(AND(OR($B$5="All domains",$B$5=C90),C90&lt;&gt;"legal",OR(D90="Partner or monitor",D90="Deprioritize")),F90,NA())</x:f>
        <x:v>44</x:v>
      </x:c>
    </x:row>
    <x:row r="91">
      <x:c r="A91" s="21" t="str">
        <x:f>'Task Matrix'!B61</x:f>
        <x:v>life_sciences/pseudotime_de</x:v>
      </x:c>
      <x:c r="B91" s="21" t="str">
        <x:f>'Task Matrix'!C61</x:f>
        <x:v>Pseudotime Differential Expression (Palantir + tradeSeq)</x:v>
      </x:c>
      <x:c r="C91" s="21" t="str">
        <x:f>'Task Matrix'!D61</x:f>
        <x:v>life_sciences</x:v>
      </x:c>
      <x:c r="D91" s="21" t="str">
        <x:f>'Task Matrix'!AK61</x:f>
        <x:v>Partner or monitor</x:v>
      </x:c>
      <x:c r="E91" s="66" t="n">
        <x:f>'Task Matrix'!AF61</x:f>
        <x:v>41067.44375000002</x:v>
      </x:c>
      <x:c r="F91" s="67" t="n">
        <x:f>'Task Matrix'!V61</x:f>
        <x:v>34</x:v>
      </x:c>
      <x:c r="G91" s="67" t="n">
        <x:f>'Task Matrix'!Y61</x:f>
        <x:v>82</x:v>
      </x:c>
      <x:c r="H91" s="67" t="e">
        <x:f>IF(AND(OR($B$5="All domains",$B$5=C91),C91="legal"),E91,NA())</x:f>
        <x:v>#N/A</x:v>
      </x:c>
      <x:c r="I91" s="67" t="e">
        <x:f>IF(AND(OR($B$5="All domains",$B$5=C91),C91="legal"),F91,NA())</x:f>
        <x:v>#N/A</x:v>
      </x:c>
      <x:c r="J91" s="67" t="e">
        <x:f>IF(AND(OR($B$5="All domains",$B$5=C91),C91&lt;&gt;"legal",D91="Build now"),E91,NA())</x:f>
        <x:v>#N/A</x:v>
      </x:c>
      <x:c r="K91" s="67" t="e">
        <x:f>IF(AND(OR($B$5="All domains",$B$5=C91),C91&lt;&gt;"legal",D91="Build now"),F91,NA())</x:f>
        <x:v>#N/A</x:v>
      </x:c>
      <x:c r="L91" s="67" t="e">
        <x:f>IF(AND(OR($B$5="All domains",$B$5=C91),C91&lt;&gt;"legal",D91="Validate next"),E91,NA())</x:f>
        <x:v>#N/A</x:v>
      </x:c>
      <x:c r="M91" s="67" t="e">
        <x:f>IF(AND(OR($B$5="All domains",$B$5=C91),C91&lt;&gt;"legal",D91="Validate next"),F91,NA())</x:f>
        <x:v>#N/A</x:v>
      </x:c>
      <x:c r="N91" s="67" t="n">
        <x:f>IF(AND(OR($B$5="All domains",$B$5=C91),C91&lt;&gt;"legal",OR(D91="Partner or monitor",D91="Deprioritize")),E91,NA())</x:f>
        <x:v>41067.44375000002</x:v>
      </x:c>
      <x:c r="O91" s="67" t="n">
        <x:f>IF(AND(OR($B$5="All domains",$B$5=C91),C91&lt;&gt;"legal",OR(D91="Partner or monitor",D91="Deprioritize")),F91,NA())</x:f>
        <x:v>34</x:v>
      </x:c>
    </x:row>
    <x:row r="92">
      <x:c r="A92" s="21" t="str">
        <x:f>'Task Matrix'!B62</x:f>
        <x:v>computing_math/branch_bound_atsp</x:v>
      </x:c>
      <x:c r="B92" s="21" t="str">
        <x:f>'Task Matrix'!C62</x:f>
        <x:v>Branch-and-Bound ATSP Solver</x:v>
      </x:c>
      <x:c r="C92" s="21" t="str">
        <x:f>'Task Matrix'!D62</x:f>
        <x:v>computing_math</x:v>
      </x:c>
      <x:c r="D92" s="21" t="str">
        <x:f>'Task Matrix'!AK62</x:f>
        <x:v>Validate next</x:v>
      </x:c>
      <x:c r="E92" s="66" t="n">
        <x:f>'Task Matrix'!AF62</x:f>
        <x:v>25441.7727168</x:v>
      </x:c>
      <x:c r="F92" s="67" t="n">
        <x:f>'Task Matrix'!V62</x:f>
        <x:v>81</x:v>
      </x:c>
      <x:c r="G92" s="67" t="n">
        <x:f>'Task Matrix'!Y62</x:f>
        <x:v>66</x:v>
      </x:c>
      <x:c r="H92" s="67" t="e">
        <x:f>IF(AND(OR($B$5="All domains",$B$5=C92),C92="legal"),E92,NA())</x:f>
        <x:v>#N/A</x:v>
      </x:c>
      <x:c r="I92" s="67" t="e">
        <x:f>IF(AND(OR($B$5="All domains",$B$5=C92),C92="legal"),F92,NA())</x:f>
        <x:v>#N/A</x:v>
      </x:c>
      <x:c r="J92" s="67" t="e">
        <x:f>IF(AND(OR($B$5="All domains",$B$5=C92),C92&lt;&gt;"legal",D92="Build now"),E92,NA())</x:f>
        <x:v>#N/A</x:v>
      </x:c>
      <x:c r="K92" s="67" t="e">
        <x:f>IF(AND(OR($B$5="All domains",$B$5=C92),C92&lt;&gt;"legal",D92="Build now"),F92,NA())</x:f>
        <x:v>#N/A</x:v>
      </x:c>
      <x:c r="L92" s="67" t="n">
        <x:f>IF(AND(OR($B$5="All domains",$B$5=C92),C92&lt;&gt;"legal",D92="Validate next"),E92,NA())</x:f>
        <x:v>25441.7727168</x:v>
      </x:c>
      <x:c r="M92" s="67" t="n">
        <x:f>IF(AND(OR($B$5="All domains",$B$5=C92),C92&lt;&gt;"legal",D92="Validate next"),F92,NA())</x:f>
        <x:v>81</x:v>
      </x:c>
      <x:c r="N92" s="67" t="e">
        <x:f>IF(AND(OR($B$5="All domains",$B$5=C92),C92&lt;&gt;"legal",OR(D92="Partner or monitor",D92="Deprioritize")),E92,NA())</x:f>
        <x:v>#N/A</x:v>
      </x:c>
      <x:c r="O92" s="67" t="e">
        <x:f>IF(AND(OR($B$5="All domains",$B$5=C92),C92&lt;&gt;"legal",OR(D92="Partner or monitor",D92="Deprioritize")),F92,NA())</x:f>
        <x:v>#N/A</x:v>
      </x:c>
    </x:row>
    <x:row r="93">
      <x:c r="A93" s="21" t="str">
        <x:f>'Task Matrix'!B63</x:f>
        <x:v>life_sciences/yeast_colony_detection</x:v>
      </x:c>
      <x:c r="B93" s="21" t="str">
        <x:f>'Task Matrix'!C63</x:f>
        <x:v>Yeast Colony Detection</x:v>
      </x:c>
      <x:c r="C93" s="21" t="str">
        <x:f>'Task Matrix'!D63</x:f>
        <x:v>life_sciences</x:v>
      </x:c>
      <x:c r="D93" s="21" t="str">
        <x:f>'Task Matrix'!AK63</x:f>
        <x:v>Partner or monitor</x:v>
      </x:c>
      <x:c r="E93" s="66" t="n">
        <x:f>'Task Matrix'!AF63</x:f>
        <x:v>26947.293</x:v>
      </x:c>
      <x:c r="F93" s="67" t="n">
        <x:f>'Task Matrix'!V63</x:f>
        <x:v>51</x:v>
      </x:c>
      <x:c r="G93" s="67" t="n">
        <x:f>'Task Matrix'!Y63</x:f>
        <x:v>72</x:v>
      </x:c>
      <x:c r="H93" s="67" t="e">
        <x:f>IF(AND(OR($B$5="All domains",$B$5=C93),C93="legal"),E93,NA())</x:f>
        <x:v>#N/A</x:v>
      </x:c>
      <x:c r="I93" s="67" t="e">
        <x:f>IF(AND(OR($B$5="All domains",$B$5=C93),C93="legal"),F93,NA())</x:f>
        <x:v>#N/A</x:v>
      </x:c>
      <x:c r="J93" s="67" t="e">
        <x:f>IF(AND(OR($B$5="All domains",$B$5=C93),C93&lt;&gt;"legal",D93="Build now"),E93,NA())</x:f>
        <x:v>#N/A</x:v>
      </x:c>
      <x:c r="K93" s="67" t="e">
        <x:f>IF(AND(OR($B$5="All domains",$B$5=C93),C93&lt;&gt;"legal",D93="Build now"),F93,NA())</x:f>
        <x:v>#N/A</x:v>
      </x:c>
      <x:c r="L93" s="67" t="e">
        <x:f>IF(AND(OR($B$5="All domains",$B$5=C93),C93&lt;&gt;"legal",D93="Validate next"),E93,NA())</x:f>
        <x:v>#N/A</x:v>
      </x:c>
      <x:c r="M93" s="67" t="e">
        <x:f>IF(AND(OR($B$5="All domains",$B$5=C93),C93&lt;&gt;"legal",D93="Validate next"),F93,NA())</x:f>
        <x:v>#N/A</x:v>
      </x:c>
      <x:c r="N93" s="67" t="n">
        <x:f>IF(AND(OR($B$5="All domains",$B$5=C93),C93&lt;&gt;"legal",OR(D93="Partner or monitor",D93="Deprioritize")),E93,NA())</x:f>
        <x:v>26947.293</x:v>
      </x:c>
      <x:c r="O93" s="67" t="n">
        <x:f>IF(AND(OR($B$5="All domains",$B$5=C93),C93&lt;&gt;"legal",OR(D93="Partner or monitor",D93="Deprioritize")),F93,NA())</x:f>
        <x:v>51</x:v>
      </x:c>
    </x:row>
    <x:row r="94">
      <x:c r="A94" s="21" t="str">
        <x:f>'Task Matrix'!B64</x:f>
        <x:v>business_finance/digital_marketing_ab_test_analysis_1</x:v>
      </x:c>
      <x:c r="B94" s="21" t="str">
        <x:f>'Task Matrix'!C64</x:f>
        <x:v>Digital Marketing A/B Test Analysis</x:v>
      </x:c>
      <x:c r="C94" s="21" t="str">
        <x:f>'Task Matrix'!D64</x:f>
        <x:v>business_finance</x:v>
      </x:c>
      <x:c r="D94" s="21" t="str">
        <x:f>'Task Matrix'!AK64</x:f>
        <x:v>Partner or monitor</x:v>
      </x:c>
      <x:c r="E94" s="66" t="n">
        <x:f>'Task Matrix'!AF64</x:f>
        <x:v>31183.491024</x:v>
      </x:c>
      <x:c r="F94" s="67" t="n">
        <x:f>'Task Matrix'!V64</x:f>
        <x:v>74</x:v>
      </x:c>
      <x:c r="G94" s="67" t="n">
        <x:f>'Task Matrix'!Y64</x:f>
        <x:v>58</x:v>
      </x:c>
      <x:c r="H94" s="67" t="e">
        <x:f>IF(AND(OR($B$5="All domains",$B$5=C94),C94="legal"),E94,NA())</x:f>
        <x:v>#N/A</x:v>
      </x:c>
      <x:c r="I94" s="67" t="e">
        <x:f>IF(AND(OR($B$5="All domains",$B$5=C94),C94="legal"),F94,NA())</x:f>
        <x:v>#N/A</x:v>
      </x:c>
      <x:c r="J94" s="67" t="e">
        <x:f>IF(AND(OR($B$5="All domains",$B$5=C94),C94&lt;&gt;"legal",D94="Build now"),E94,NA())</x:f>
        <x:v>#N/A</x:v>
      </x:c>
      <x:c r="K94" s="67" t="e">
        <x:f>IF(AND(OR($B$5="All domains",$B$5=C94),C94&lt;&gt;"legal",D94="Build now"),F94,NA())</x:f>
        <x:v>#N/A</x:v>
      </x:c>
      <x:c r="L94" s="67" t="e">
        <x:f>IF(AND(OR($B$5="All domains",$B$5=C94),C94&lt;&gt;"legal",D94="Validate next"),E94,NA())</x:f>
        <x:v>#N/A</x:v>
      </x:c>
      <x:c r="M94" s="67" t="e">
        <x:f>IF(AND(OR($B$5="All domains",$B$5=C94),C94&lt;&gt;"legal",D94="Validate next"),F94,NA())</x:f>
        <x:v>#N/A</x:v>
      </x:c>
      <x:c r="N94" s="67" t="n">
        <x:f>IF(AND(OR($B$5="All domains",$B$5=C94),C94&lt;&gt;"legal",OR(D94="Partner or monitor",D94="Deprioritize")),E94,NA())</x:f>
        <x:v>31183.491024</x:v>
      </x:c>
      <x:c r="O94" s="67" t="n">
        <x:f>IF(AND(OR($B$5="All domains",$B$5=C94),C94&lt;&gt;"legal",OR(D94="Partner or monitor",D94="Deprioritize")),F94,NA())</x:f>
        <x:v>74</x:v>
      </x:c>
    </x:row>
    <x:row r="95">
      <x:c r="A95" s="21" t="str">
        <x:f>'Task Matrix'!B65</x:f>
        <x:v>social_sciences/atwood_2022_measles_vaccine_reproduction</x:v>
      </x:c>
      <x:c r="B95" s="21" t="str">
        <x:f>'Task Matrix'!C65</x:f>
        <x:v>Atwood 2022 Measles Vaccine Coefficient Reproduction</x:v>
      </x:c>
      <x:c r="C95" s="21" t="str">
        <x:f>'Task Matrix'!D65</x:f>
        <x:v>social_sciences</x:v>
      </x:c>
      <x:c r="D95" s="21" t="str">
        <x:f>'Task Matrix'!AK65</x:f>
        <x:v>Partner or monitor</x:v>
      </x:c>
      <x:c r="E95" s="66" t="n">
        <x:f>'Task Matrix'!AF65</x:f>
        <x:v>18191.0772096</x:v>
      </x:c>
      <x:c r="F95" s="67" t="n">
        <x:f>'Task Matrix'!V65</x:f>
        <x:v>66</x:v>
      </x:c>
      <x:c r="G95" s="67" t="n">
        <x:f>'Task Matrix'!Y65</x:f>
        <x:v>86</x:v>
      </x:c>
      <x:c r="H95" s="67" t="e">
        <x:f>IF(AND(OR($B$5="All domains",$B$5=C95),C95="legal"),E95,NA())</x:f>
        <x:v>#N/A</x:v>
      </x:c>
      <x:c r="I95" s="67" t="e">
        <x:f>IF(AND(OR($B$5="All domains",$B$5=C95),C95="legal"),F95,NA())</x:f>
        <x:v>#N/A</x:v>
      </x:c>
      <x:c r="J95" s="67" t="e">
        <x:f>IF(AND(OR($B$5="All domains",$B$5=C95),C95&lt;&gt;"legal",D95="Build now"),E95,NA())</x:f>
        <x:v>#N/A</x:v>
      </x:c>
      <x:c r="K95" s="67" t="e">
        <x:f>IF(AND(OR($B$5="All domains",$B$5=C95),C95&lt;&gt;"legal",D95="Build now"),F95,NA())</x:f>
        <x:v>#N/A</x:v>
      </x:c>
      <x:c r="L95" s="67" t="e">
        <x:f>IF(AND(OR($B$5="All domains",$B$5=C95),C95&lt;&gt;"legal",D95="Validate next"),E95,NA())</x:f>
        <x:v>#N/A</x:v>
      </x:c>
      <x:c r="M95" s="67" t="e">
        <x:f>IF(AND(OR($B$5="All domains",$B$5=C95),C95&lt;&gt;"legal",D95="Validate next"),F95,NA())</x:f>
        <x:v>#N/A</x:v>
      </x:c>
      <x:c r="N95" s="67" t="n">
        <x:f>IF(AND(OR($B$5="All domains",$B$5=C95),C95&lt;&gt;"legal",OR(D95="Partner or monitor",D95="Deprioritize")),E95,NA())</x:f>
        <x:v>18191.0772096</x:v>
      </x:c>
      <x:c r="O95" s="67" t="n">
        <x:f>IF(AND(OR($B$5="All domains",$B$5=C95),C95&lt;&gt;"legal",OR(D95="Partner or monitor",D95="Deprioritize")),F95,NA())</x:f>
        <x:v>66</x:v>
      </x:c>
    </x:row>
    <x:row r="96">
      <x:c r="A96" s="21" t="str">
        <x:f>'Task Matrix'!B66</x:f>
        <x:v>health_medicine/public_health_mask_mandate_ratio</x:v>
      </x:c>
      <x:c r="B96" s="21" t="str">
        <x:f>'Task Matrix'!C66</x:f>
        <x:v>Mask Mandate Moment-In-Time Ratio</x:v>
      </x:c>
      <x:c r="C96" s="21" t="str">
        <x:f>'Task Matrix'!D66</x:f>
        <x:v>health_medicine</x:v>
      </x:c>
      <x:c r="D96" s="21" t="str">
        <x:f>'Task Matrix'!AK66</x:f>
        <x:v>Partner or monitor</x:v>
      </x:c>
      <x:c r="E96" s="66" t="n">
        <x:f>'Task Matrix'!AF66</x:f>
        <x:v>34128.95405568</x:v>
      </x:c>
      <x:c r="F96" s="67" t="n">
        <x:f>'Task Matrix'!V66</x:f>
        <x:v>72</x:v>
      </x:c>
      <x:c r="G96" s="67" t="n">
        <x:f>'Task Matrix'!Y66</x:f>
        <x:v>80</x:v>
      </x:c>
      <x:c r="H96" s="67" t="e">
        <x:f>IF(AND(OR($B$5="All domains",$B$5=C96),C96="legal"),E96,NA())</x:f>
        <x:v>#N/A</x:v>
      </x:c>
      <x:c r="I96" s="67" t="e">
        <x:f>IF(AND(OR($B$5="All domains",$B$5=C96),C96="legal"),F96,NA())</x:f>
        <x:v>#N/A</x:v>
      </x:c>
      <x:c r="J96" s="67" t="e">
        <x:f>IF(AND(OR($B$5="All domains",$B$5=C96),C96&lt;&gt;"legal",D96="Build now"),E96,NA())</x:f>
        <x:v>#N/A</x:v>
      </x:c>
      <x:c r="K96" s="67" t="e">
        <x:f>IF(AND(OR($B$5="All domains",$B$5=C96),C96&lt;&gt;"legal",D96="Build now"),F96,NA())</x:f>
        <x:v>#N/A</x:v>
      </x:c>
      <x:c r="L96" s="67" t="e">
        <x:f>IF(AND(OR($B$5="All domains",$B$5=C96),C96&lt;&gt;"legal",D96="Validate next"),E96,NA())</x:f>
        <x:v>#N/A</x:v>
      </x:c>
      <x:c r="M96" s="67" t="e">
        <x:f>IF(AND(OR($B$5="All domains",$B$5=C96),C96&lt;&gt;"legal",D96="Validate next"),F96,NA())</x:f>
        <x:v>#N/A</x:v>
      </x:c>
      <x:c r="N96" s="67" t="n">
        <x:f>IF(AND(OR($B$5="All domains",$B$5=C96),C96&lt;&gt;"legal",OR(D96="Partner or monitor",D96="Deprioritize")),E96,NA())</x:f>
        <x:v>34128.95405568</x:v>
      </x:c>
      <x:c r="O96" s="67" t="n">
        <x:f>IF(AND(OR($B$5="All domains",$B$5=C96),C96&lt;&gt;"legal",OR(D96="Partner or monitor",D96="Deprioritize")),F96,NA())</x:f>
        <x:v>72</x:v>
      </x:c>
    </x:row>
    <x:row r="97">
      <x:c r="A97" s="21" t="str">
        <x:f>'Task Matrix'!B67</x:f>
        <x:v>life_sciences/merfish_image_decoding_segmentation_1</x:v>
      </x:c>
      <x:c r="B97" s="21" t="str">
        <x:f>'Task Matrix'!C67</x:f>
        <x:v>Single-FOV MERFISH Image Decoding And Cell Segmentation</x:v>
      </x:c>
      <x:c r="C97" s="21" t="str">
        <x:f>'Task Matrix'!D67</x:f>
        <x:v>life_sciences</x:v>
      </x:c>
      <x:c r="D97" s="21" t="str">
        <x:f>'Task Matrix'!AK67</x:f>
        <x:v>Partner or monitor</x:v>
      </x:c>
      <x:c r="E97" s="66" t="n">
        <x:f>'Task Matrix'!AF67</x:f>
        <x:v>20969.412000000004</x:v>
      </x:c>
      <x:c r="F97" s="67" t="n">
        <x:f>'Task Matrix'!V67</x:f>
        <x:v>44</x:v>
      </x:c>
      <x:c r="G97" s="67" t="n">
        <x:f>'Task Matrix'!Y67</x:f>
        <x:v>72</x:v>
      </x:c>
      <x:c r="H97" s="67" t="e">
        <x:f>IF(AND(OR($B$5="All domains",$B$5=C97),C97="legal"),E97,NA())</x:f>
        <x:v>#N/A</x:v>
      </x:c>
      <x:c r="I97" s="67" t="e">
        <x:f>IF(AND(OR($B$5="All domains",$B$5=C97),C97="legal"),F97,NA())</x:f>
        <x:v>#N/A</x:v>
      </x:c>
      <x:c r="J97" s="67" t="e">
        <x:f>IF(AND(OR($B$5="All domains",$B$5=C97),C97&lt;&gt;"legal",D97="Build now"),E97,NA())</x:f>
        <x:v>#N/A</x:v>
      </x:c>
      <x:c r="K97" s="67" t="e">
        <x:f>IF(AND(OR($B$5="All domains",$B$5=C97),C97&lt;&gt;"legal",D97="Build now"),F97,NA())</x:f>
        <x:v>#N/A</x:v>
      </x:c>
      <x:c r="L97" s="67" t="e">
        <x:f>IF(AND(OR($B$5="All domains",$B$5=C97),C97&lt;&gt;"legal",D97="Validate next"),E97,NA())</x:f>
        <x:v>#N/A</x:v>
      </x:c>
      <x:c r="M97" s="67" t="e">
        <x:f>IF(AND(OR($B$5="All domains",$B$5=C97),C97&lt;&gt;"legal",D97="Validate next"),F97,NA())</x:f>
        <x:v>#N/A</x:v>
      </x:c>
      <x:c r="N97" s="67" t="n">
        <x:f>IF(AND(OR($B$5="All domains",$B$5=C97),C97&lt;&gt;"legal",OR(D97="Partner or monitor",D97="Deprioritize")),E97,NA())</x:f>
        <x:v>20969.412000000004</x:v>
      </x:c>
      <x:c r="O97" s="67" t="n">
        <x:f>IF(AND(OR($B$5="All domains",$B$5=C97),C97&lt;&gt;"legal",OR(D97="Partner or monitor",D97="Deprioritize")),F97,NA())</x:f>
        <x:v>44</x:v>
      </x:c>
    </x:row>
    <x:row r="98">
      <x:c r="A98" s="21" t="str">
        <x:f>'Task Matrix'!B68</x:f>
        <x:v>computing_math/recsys_cold_start_instance_1</x:v>
      </x:c>
      <x:c r="B98" s="21" t="str">
        <x:f>'Task Matrix'!C68</x:f>
        <x:v>Hybrid Recommender Cold-Start Benchmark</x:v>
      </x:c>
      <x:c r="C98" s="21" t="str">
        <x:f>'Task Matrix'!D68</x:f>
        <x:v>computing_math</x:v>
      </x:c>
      <x:c r="D98" s="21" t="str">
        <x:f>'Task Matrix'!AK68</x:f>
        <x:v>Partner or monitor</x:v>
      </x:c>
      <x:c r="E98" s="66" t="n">
        <x:f>'Task Matrix'!AF68</x:f>
        <x:v>22801.9404672</x:v>
      </x:c>
      <x:c r="F98" s="67" t="n">
        <x:f>'Task Matrix'!V68</x:f>
        <x:v>74</x:v>
      </x:c>
      <x:c r="G98" s="67" t="n">
        <x:f>'Task Matrix'!Y68</x:f>
        <x:v>66</x:v>
      </x:c>
      <x:c r="H98" s="67" t="e">
        <x:f>IF(AND(OR($B$5="All domains",$B$5=C98),C98="legal"),E98,NA())</x:f>
        <x:v>#N/A</x:v>
      </x:c>
      <x:c r="I98" s="67" t="e">
        <x:f>IF(AND(OR($B$5="All domains",$B$5=C98),C98="legal"),F98,NA())</x:f>
        <x:v>#N/A</x:v>
      </x:c>
      <x:c r="J98" s="67" t="e">
        <x:f>IF(AND(OR($B$5="All domains",$B$5=C98),C98&lt;&gt;"legal",D98="Build now"),E98,NA())</x:f>
        <x:v>#N/A</x:v>
      </x:c>
      <x:c r="K98" s="67" t="e">
        <x:f>IF(AND(OR($B$5="All domains",$B$5=C98),C98&lt;&gt;"legal",D98="Build now"),F98,NA())</x:f>
        <x:v>#N/A</x:v>
      </x:c>
      <x:c r="L98" s="67" t="e">
        <x:f>IF(AND(OR($B$5="All domains",$B$5=C98),C98&lt;&gt;"legal",D98="Validate next"),E98,NA())</x:f>
        <x:v>#N/A</x:v>
      </x:c>
      <x:c r="M98" s="67" t="e">
        <x:f>IF(AND(OR($B$5="All domains",$B$5=C98),C98&lt;&gt;"legal",D98="Validate next"),F98,NA())</x:f>
        <x:v>#N/A</x:v>
      </x:c>
      <x:c r="N98" s="67" t="n">
        <x:f>IF(AND(OR($B$5="All domains",$B$5=C98),C98&lt;&gt;"legal",OR(D98="Partner or monitor",D98="Deprioritize")),E98,NA())</x:f>
        <x:v>22801.9404672</x:v>
      </x:c>
      <x:c r="O98" s="67" t="n">
        <x:f>IF(AND(OR($B$5="All domains",$B$5=C98),C98&lt;&gt;"legal",OR(D98="Partner or monitor",D98="Deprioritize")),F98,NA())</x:f>
        <x:v>74</x:v>
      </x:c>
    </x:row>
    <x:row r="99">
      <x:c r="A99" s="21" t="str">
        <x:f>'Task Matrix'!B69</x:f>
        <x:v>computing_math/cfr_game_theory_equilibrium</x:v>
      </x:c>
      <x:c r="B99" s="21" t="str">
        <x:f>'Task Matrix'!C69</x:f>
        <x:v>CFR Game Theory Equilibrium</x:v>
      </x:c>
      <x:c r="C99" s="21" t="str">
        <x:f>'Task Matrix'!D69</x:f>
        <x:v>computing_math</x:v>
      </x:c>
      <x:c r="D99" s="21" t="str">
        <x:f>'Task Matrix'!AK69</x:f>
        <x:v>Partner or monitor</x:v>
      </x:c>
      <x:c r="E99" s="66" t="n">
        <x:f>'Task Matrix'!AF69</x:f>
        <x:v>22801.9404672</x:v>
      </x:c>
      <x:c r="F99" s="67" t="n">
        <x:f>'Task Matrix'!V69</x:f>
        <x:v>74</x:v>
      </x:c>
      <x:c r="G99" s="67" t="n">
        <x:f>'Task Matrix'!Y69</x:f>
        <x:v>66</x:v>
      </x:c>
      <x:c r="H99" s="67" t="e">
        <x:f>IF(AND(OR($B$5="All domains",$B$5=C99),C99="legal"),E99,NA())</x:f>
        <x:v>#N/A</x:v>
      </x:c>
      <x:c r="I99" s="67" t="e">
        <x:f>IF(AND(OR($B$5="All domains",$B$5=C99),C99="legal"),F99,NA())</x:f>
        <x:v>#N/A</x:v>
      </x:c>
      <x:c r="J99" s="67" t="e">
        <x:f>IF(AND(OR($B$5="All domains",$B$5=C99),C99&lt;&gt;"legal",D99="Build now"),E99,NA())</x:f>
        <x:v>#N/A</x:v>
      </x:c>
      <x:c r="K99" s="67" t="e">
        <x:f>IF(AND(OR($B$5="All domains",$B$5=C99),C99&lt;&gt;"legal",D99="Build now"),F99,NA())</x:f>
        <x:v>#N/A</x:v>
      </x:c>
      <x:c r="L99" s="67" t="e">
        <x:f>IF(AND(OR($B$5="All domains",$B$5=C99),C99&lt;&gt;"legal",D99="Validate next"),E99,NA())</x:f>
        <x:v>#N/A</x:v>
      </x:c>
      <x:c r="M99" s="67" t="e">
        <x:f>IF(AND(OR($B$5="All domains",$B$5=C99),C99&lt;&gt;"legal",D99="Validate next"),F99,NA())</x:f>
        <x:v>#N/A</x:v>
      </x:c>
      <x:c r="N99" s="67" t="n">
        <x:f>IF(AND(OR($B$5="All domains",$B$5=C99),C99&lt;&gt;"legal",OR(D99="Partner or monitor",D99="Deprioritize")),E99,NA())</x:f>
        <x:v>22801.9404672</x:v>
      </x:c>
      <x:c r="O99" s="67" t="n">
        <x:f>IF(AND(OR($B$5="All domains",$B$5=C99),C99&lt;&gt;"legal",OR(D99="Partner or monitor",D99="Deprioritize")),F99,NA())</x:f>
        <x:v>74</x:v>
      </x:c>
    </x:row>
    <x:row r="100">
      <x:c r="A100" s="21" t="str">
        <x:f>'Task Matrix'!B70</x:f>
        <x:v>engineering/openroad_sky130_ibex_pnr_signoff</x:v>
      </x:c>
      <x:c r="B100" s="21" t="str">
        <x:f>'Task Matrix'!C70</x:f>
        <x:v>OpenROAD SKY130 Ibex PnR Signoff</x:v>
      </x:c>
      <x:c r="C100" s="21" t="str">
        <x:f>'Task Matrix'!D70</x:f>
        <x:v>engineering</x:v>
      </x:c>
      <x:c r="D100" s="21" t="str">
        <x:f>'Task Matrix'!AK70</x:f>
        <x:v>Partner or monitor</x:v>
      </x:c>
      <x:c r="E100" s="66" t="n">
        <x:f>'Task Matrix'!AF70</x:f>
        <x:v>33375.220776960006</x:v>
      </x:c>
      <x:c r="F100" s="67" t="n">
        <x:f>'Task Matrix'!V70</x:f>
        <x:v>62</x:v>
      </x:c>
      <x:c r="G100" s="67" t="n">
        <x:f>'Task Matrix'!Y70</x:f>
        <x:v>76</x:v>
      </x:c>
      <x:c r="H100" s="67" t="e">
        <x:f>IF(AND(OR($B$5="All domains",$B$5=C100),C100="legal"),E100,NA())</x:f>
        <x:v>#N/A</x:v>
      </x:c>
      <x:c r="I100" s="67" t="e">
        <x:f>IF(AND(OR($B$5="All domains",$B$5=C100),C100="legal"),F100,NA())</x:f>
        <x:v>#N/A</x:v>
      </x:c>
      <x:c r="J100" s="67" t="e">
        <x:f>IF(AND(OR($B$5="All domains",$B$5=C100),C100&lt;&gt;"legal",D100="Build now"),E100,NA())</x:f>
        <x:v>#N/A</x:v>
      </x:c>
      <x:c r="K100" s="67" t="e">
        <x:f>IF(AND(OR($B$5="All domains",$B$5=C100),C100&lt;&gt;"legal",D100="Build now"),F100,NA())</x:f>
        <x:v>#N/A</x:v>
      </x:c>
      <x:c r="L100" s="67" t="e">
        <x:f>IF(AND(OR($B$5="All domains",$B$5=C100),C100&lt;&gt;"legal",D100="Validate next"),E100,NA())</x:f>
        <x:v>#N/A</x:v>
      </x:c>
      <x:c r="M100" s="67" t="e">
        <x:f>IF(AND(OR($B$5="All domains",$B$5=C100),C100&lt;&gt;"legal",D100="Validate next"),F100,NA())</x:f>
        <x:v>#N/A</x:v>
      </x:c>
      <x:c r="N100" s="67" t="n">
        <x:f>IF(AND(OR($B$5="All domains",$B$5=C100),C100&lt;&gt;"legal",OR(D100="Partner or monitor",D100="Deprioritize")),E100,NA())</x:f>
        <x:v>33375.220776960006</x:v>
      </x:c>
      <x:c r="O100" s="67" t="n">
        <x:f>IF(AND(OR($B$5="All domains",$B$5=C100),C100&lt;&gt;"legal",OR(D100="Partner or monitor",D100="Deprioritize")),F100,NA())</x:f>
        <x:v>62</x:v>
      </x:c>
    </x:row>
    <x:row r="101">
      <x:c r="A101" s="21" t="str">
        <x:f>'Task Matrix'!B71</x:f>
        <x:v>psychology_neuro/celegans_neuron_tracking</x:v>
      </x:c>
      <x:c r="B101" s="21" t="str">
        <x:f>'Task Matrix'!C71</x:f>
        <x:v>C. elegans Neuron Tracking</x:v>
      </x:c>
      <x:c r="C101" s="21" t="str">
        <x:f>'Task Matrix'!D71</x:f>
        <x:v>psychology_neuro</x:v>
      </x:c>
      <x:c r="D101" s="21" t="str">
        <x:f>'Task Matrix'!AK71</x:f>
        <x:v>Partner or monitor</x:v>
      </x:c>
      <x:c r="E101" s="66" t="n">
        <x:f>'Task Matrix'!AF71</x:f>
        <x:v>19224.659039999995</x:v>
      </x:c>
      <x:c r="F101" s="67" t="n">
        <x:f>'Task Matrix'!V71</x:f>
        <x:v>44</x:v>
      </x:c>
      <x:c r="G101" s="67" t="n">
        <x:f>'Task Matrix'!Y71</x:f>
        <x:v>72</x:v>
      </x:c>
      <x:c r="H101" s="67" t="e">
        <x:f>IF(AND(OR($B$5="All domains",$B$5=C101),C101="legal"),E101,NA())</x:f>
        <x:v>#N/A</x:v>
      </x:c>
      <x:c r="I101" s="67" t="e">
        <x:f>IF(AND(OR($B$5="All domains",$B$5=C101),C101="legal"),F101,NA())</x:f>
        <x:v>#N/A</x:v>
      </x:c>
      <x:c r="J101" s="67" t="e">
        <x:f>IF(AND(OR($B$5="All domains",$B$5=C101),C101&lt;&gt;"legal",D101="Build now"),E101,NA())</x:f>
        <x:v>#N/A</x:v>
      </x:c>
      <x:c r="K101" s="67" t="e">
        <x:f>IF(AND(OR($B$5="All domains",$B$5=C101),C101&lt;&gt;"legal",D101="Build now"),F101,NA())</x:f>
        <x:v>#N/A</x:v>
      </x:c>
      <x:c r="L101" s="67" t="e">
        <x:f>IF(AND(OR($B$5="All domains",$B$5=C101),C101&lt;&gt;"legal",D101="Validate next"),E101,NA())</x:f>
        <x:v>#N/A</x:v>
      </x:c>
      <x:c r="M101" s="67" t="e">
        <x:f>IF(AND(OR($B$5="All domains",$B$5=C101),C101&lt;&gt;"legal",D101="Validate next"),F101,NA())</x:f>
        <x:v>#N/A</x:v>
      </x:c>
      <x:c r="N101" s="67" t="n">
        <x:f>IF(AND(OR($B$5="All domains",$B$5=C101),C101&lt;&gt;"legal",OR(D101="Partner or monitor",D101="Deprioritize")),E101,NA())</x:f>
        <x:v>19224.659039999995</x:v>
      </x:c>
      <x:c r="O101" s="67" t="n">
        <x:f>IF(AND(OR($B$5="All domains",$B$5=C101),C101&lt;&gt;"legal",OR(D101="Partner or monitor",D101="Deprioritize")),F101,NA())</x:f>
        <x:v>44</x:v>
      </x:c>
    </x:row>
    <x:row r="102">
      <x:c r="A102" s="21" t="str">
        <x:f>'Task Matrix'!B72</x:f>
        <x:v>health_medicine/limited_angle_ct_dps_reconstruction</x:v>
      </x:c>
      <x:c r="B102" s="21" t="str">
        <x:f>'Task Matrix'!C72</x:f>
        <x:v>Limited-Angle CT Reconstruction With DPS</x:v>
      </x:c>
      <x:c r="C102" s="21" t="str">
        <x:f>'Task Matrix'!D72</x:f>
        <x:v>health_medicine</x:v>
      </x:c>
      <x:c r="D102" s="21" t="str">
        <x:f>'Task Matrix'!AK72</x:f>
        <x:v>Partner or monitor</x:v>
      </x:c>
      <x:c r="E102" s="66" t="n">
        <x:f>'Task Matrix'!AF72</x:f>
        <x:v>23674.549862399996</x:v>
      </x:c>
      <x:c r="F102" s="67" t="n">
        <x:f>'Task Matrix'!V72</x:f>
        <x:v>44</x:v>
      </x:c>
      <x:c r="G102" s="67" t="n">
        <x:f>'Task Matrix'!Y72</x:f>
        <x:v>72</x:v>
      </x:c>
      <x:c r="H102" s="67" t="e">
        <x:f>IF(AND(OR($B$5="All domains",$B$5=C102),C102="legal"),E102,NA())</x:f>
        <x:v>#N/A</x:v>
      </x:c>
      <x:c r="I102" s="67" t="e">
        <x:f>IF(AND(OR($B$5="All domains",$B$5=C102),C102="legal"),F102,NA())</x:f>
        <x:v>#N/A</x:v>
      </x:c>
      <x:c r="J102" s="67" t="e">
        <x:f>IF(AND(OR($B$5="All domains",$B$5=C102),C102&lt;&gt;"legal",D102="Build now"),E102,NA())</x:f>
        <x:v>#N/A</x:v>
      </x:c>
      <x:c r="K102" s="67" t="e">
        <x:f>IF(AND(OR($B$5="All domains",$B$5=C102),C102&lt;&gt;"legal",D102="Build now"),F102,NA())</x:f>
        <x:v>#N/A</x:v>
      </x:c>
      <x:c r="L102" s="67" t="e">
        <x:f>IF(AND(OR($B$5="All domains",$B$5=C102),C102&lt;&gt;"legal",D102="Validate next"),E102,NA())</x:f>
        <x:v>#N/A</x:v>
      </x:c>
      <x:c r="M102" s="67" t="e">
        <x:f>IF(AND(OR($B$5="All domains",$B$5=C102),C102&lt;&gt;"legal",D102="Validate next"),F102,NA())</x:f>
        <x:v>#N/A</x:v>
      </x:c>
      <x:c r="N102" s="67" t="n">
        <x:f>IF(AND(OR($B$5="All domains",$B$5=C102),C102&lt;&gt;"legal",OR(D102="Partner or monitor",D102="Deprioritize")),E102,NA())</x:f>
        <x:v>23674.549862399996</x:v>
      </x:c>
      <x:c r="O102" s="67" t="n">
        <x:f>IF(AND(OR($B$5="All domains",$B$5=C102),C102&lt;&gt;"legal",OR(D102="Partner or monitor",D102="Deprioritize")),F102,NA())</x:f>
        <x:v>44</x:v>
      </x:c>
    </x:row>
    <x:row r="103">
      <x:c r="A103" s="21" t="str">
        <x:f>'Task Matrix'!B73</x:f>
        <x:v>engineering/sanding_performance_scoring_instance_1</x:v>
      </x:c>
      <x:c r="B103" s="21" t="str">
        <x:f>'Task Matrix'!C73</x:f>
        <x:v>Sanding Performance Image Scoring</x:v>
      </x:c>
      <x:c r="C103" s="21" t="str">
        <x:f>'Task Matrix'!D73</x:f>
        <x:v>engineering</x:v>
      </x:c>
      <x:c r="D103" s="21" t="str">
        <x:f>'Task Matrix'!AK73</x:f>
        <x:v>Partner or monitor</x:v>
      </x:c>
      <x:c r="E103" s="66" t="n">
        <x:f>'Task Matrix'!AF73</x:f>
        <x:v>21788.8152576</x:v>
      </x:c>
      <x:c r="F103" s="67" t="n">
        <x:f>'Task Matrix'!V73</x:f>
        <x:v>44</x:v>
      </x:c>
      <x:c r="G103" s="67" t="n">
        <x:f>'Task Matrix'!Y73</x:f>
        <x:v>72</x:v>
      </x:c>
      <x:c r="H103" s="67" t="e">
        <x:f>IF(AND(OR($B$5="All domains",$B$5=C103),C103="legal"),E103,NA())</x:f>
        <x:v>#N/A</x:v>
      </x:c>
      <x:c r="I103" s="67" t="e">
        <x:f>IF(AND(OR($B$5="All domains",$B$5=C103),C103="legal"),F103,NA())</x:f>
        <x:v>#N/A</x:v>
      </x:c>
      <x:c r="J103" s="67" t="e">
        <x:f>IF(AND(OR($B$5="All domains",$B$5=C103),C103&lt;&gt;"legal",D103="Build now"),E103,NA())</x:f>
        <x:v>#N/A</x:v>
      </x:c>
      <x:c r="K103" s="67" t="e">
        <x:f>IF(AND(OR($B$5="All domains",$B$5=C103),C103&lt;&gt;"legal",D103="Build now"),F103,NA())</x:f>
        <x:v>#N/A</x:v>
      </x:c>
      <x:c r="L103" s="67" t="e">
        <x:f>IF(AND(OR($B$5="All domains",$B$5=C103),C103&lt;&gt;"legal",D103="Validate next"),E103,NA())</x:f>
        <x:v>#N/A</x:v>
      </x:c>
      <x:c r="M103" s="67" t="e">
        <x:f>IF(AND(OR($B$5="All domains",$B$5=C103),C103&lt;&gt;"legal",D103="Validate next"),F103,NA())</x:f>
        <x:v>#N/A</x:v>
      </x:c>
      <x:c r="N103" s="67" t="n">
        <x:f>IF(AND(OR($B$5="All domains",$B$5=C103),C103&lt;&gt;"legal",OR(D103="Partner or monitor",D103="Deprioritize")),E103,NA())</x:f>
        <x:v>21788.8152576</x:v>
      </x:c>
      <x:c r="O103" s="67" t="n">
        <x:f>IF(AND(OR($B$5="All domains",$B$5=C103),C103&lt;&gt;"legal",OR(D103="Partner or monitor",D103="Deprioritize")),F103,NA())</x:f>
        <x:v>44</x:v>
      </x:c>
    </x:row>
    <x:row r="104">
      <x:c r="A104" s="21" t="str">
        <x:f>'Task Matrix'!B74</x:f>
        <x:v>engineering/power_10kv_feeder_reliability_001</x:v>
      </x:c>
      <x:c r="B104" s="21" t="str">
        <x:f>'Task Matrix'!C74</x:f>
        <x:v>10kV Feeder Reliability Indices</x:v>
      </x:c>
      <x:c r="C104" s="21" t="str">
        <x:f>'Task Matrix'!D74</x:f>
        <x:v>engineering</x:v>
      </x:c>
      <x:c r="D104" s="21" t="str">
        <x:f>'Task Matrix'!AK74</x:f>
        <x:v>Partner or monitor</x:v>
      </x:c>
      <x:c r="E104" s="66" t="n">
        <x:f>'Task Matrix'!AF74</x:f>
        <x:v>34956.688389120005</x:v>
      </x:c>
      <x:c r="F104" s="67" t="n">
        <x:f>'Task Matrix'!V74</x:f>
        <x:v>64</x:v>
      </x:c>
      <x:c r="G104" s="67" t="n">
        <x:f>'Task Matrix'!Y74</x:f>
        <x:v>66</x:v>
      </x:c>
      <x:c r="H104" s="67" t="e">
        <x:f>IF(AND(OR($B$5="All domains",$B$5=C104),C104="legal"),E104,NA())</x:f>
        <x:v>#N/A</x:v>
      </x:c>
      <x:c r="I104" s="67" t="e">
        <x:f>IF(AND(OR($B$5="All domains",$B$5=C104),C104="legal"),F104,NA())</x:f>
        <x:v>#N/A</x:v>
      </x:c>
      <x:c r="J104" s="67" t="e">
        <x:f>IF(AND(OR($B$5="All domains",$B$5=C104),C104&lt;&gt;"legal",D104="Build now"),E104,NA())</x:f>
        <x:v>#N/A</x:v>
      </x:c>
      <x:c r="K104" s="67" t="e">
        <x:f>IF(AND(OR($B$5="All domains",$B$5=C104),C104&lt;&gt;"legal",D104="Build now"),F104,NA())</x:f>
        <x:v>#N/A</x:v>
      </x:c>
      <x:c r="L104" s="67" t="e">
        <x:f>IF(AND(OR($B$5="All domains",$B$5=C104),C104&lt;&gt;"legal",D104="Validate next"),E104,NA())</x:f>
        <x:v>#N/A</x:v>
      </x:c>
      <x:c r="M104" s="67" t="e">
        <x:f>IF(AND(OR($B$5="All domains",$B$5=C104),C104&lt;&gt;"legal",D104="Validate next"),F104,NA())</x:f>
        <x:v>#N/A</x:v>
      </x:c>
      <x:c r="N104" s="67" t="n">
        <x:f>IF(AND(OR($B$5="All domains",$B$5=C104),C104&lt;&gt;"legal",OR(D104="Partner or monitor",D104="Deprioritize")),E104,NA())</x:f>
        <x:v>34956.688389120005</x:v>
      </x:c>
      <x:c r="O104" s="67" t="n">
        <x:f>IF(AND(OR($B$5="All domains",$B$5=C104),C104&lt;&gt;"legal",OR(D104="Partner or monitor",D104="Deprioritize")),F104,NA())</x:f>
        <x:v>64</x:v>
      </x:c>
    </x:row>
    <x:row r="105">
      <x:c r="A105" s="21" t="str">
        <x:f>'Task Matrix'!B75</x:f>
        <x:v>health_medicine/ltmle_targeted_bootstrap_simulation_study</x:v>
      </x:c>
      <x:c r="B105" s="21" t="str">
        <x:f>'Task Matrix'!C75</x:f>
        <x:v>LTMLE Targeted Bootstrap Simulation Study</x:v>
      </x:c>
      <x:c r="C105" s="21" t="str">
        <x:f>'Task Matrix'!D75</x:f>
        <x:v>health_medicine</x:v>
      </x:c>
      <x:c r="D105" s="21" t="str">
        <x:f>'Task Matrix'!AK75</x:f>
        <x:v>Partner or monitor</x:v>
      </x:c>
      <x:c r="E105" s="66" t="n">
        <x:f>'Task Matrix'!AF75</x:f>
        <x:v>22901.612160000004</x:v>
      </x:c>
      <x:c r="F105" s="67" t="n">
        <x:f>'Task Matrix'!V75</x:f>
        <x:v>50</x:v>
      </x:c>
      <x:c r="G105" s="67" t="n">
        <x:f>'Task Matrix'!Y75</x:f>
        <x:v>76</x:v>
      </x:c>
      <x:c r="H105" s="67" t="e">
        <x:f>IF(AND(OR($B$5="All domains",$B$5=C105),C105="legal"),E105,NA())</x:f>
        <x:v>#N/A</x:v>
      </x:c>
      <x:c r="I105" s="67" t="e">
        <x:f>IF(AND(OR($B$5="All domains",$B$5=C105),C105="legal"),F105,NA())</x:f>
        <x:v>#N/A</x:v>
      </x:c>
      <x:c r="J105" s="67" t="e">
        <x:f>IF(AND(OR($B$5="All domains",$B$5=C105),C105&lt;&gt;"legal",D105="Build now"),E105,NA())</x:f>
        <x:v>#N/A</x:v>
      </x:c>
      <x:c r="K105" s="67" t="e">
        <x:f>IF(AND(OR($B$5="All domains",$B$5=C105),C105&lt;&gt;"legal",D105="Build now"),F105,NA())</x:f>
        <x:v>#N/A</x:v>
      </x:c>
      <x:c r="L105" s="67" t="e">
        <x:f>IF(AND(OR($B$5="All domains",$B$5=C105),C105&lt;&gt;"legal",D105="Validate next"),E105,NA())</x:f>
        <x:v>#N/A</x:v>
      </x:c>
      <x:c r="M105" s="67" t="e">
        <x:f>IF(AND(OR($B$5="All domains",$B$5=C105),C105&lt;&gt;"legal",D105="Validate next"),F105,NA())</x:f>
        <x:v>#N/A</x:v>
      </x:c>
      <x:c r="N105" s="67" t="n">
        <x:f>IF(AND(OR($B$5="All domains",$B$5=C105),C105&lt;&gt;"legal",OR(D105="Partner or monitor",D105="Deprioritize")),E105,NA())</x:f>
        <x:v>22901.612160000004</x:v>
      </x:c>
      <x:c r="O105" s="67" t="n">
        <x:f>IF(AND(OR($B$5="All domains",$B$5=C105),C105&lt;&gt;"legal",OR(D105="Partner or monitor",D105="Deprioritize")),F105,NA())</x:f>
        <x:v>50</x:v>
      </x:c>
    </x:row>
    <x:row r="106">
      <x:c r="A106" s="21" t="str">
        <x:f>'Task Matrix'!B76</x:f>
        <x:v>health_medicine/ct_geometry_calibration_catphan</x:v>
      </x:c>
      <x:c r="B106" s="21" t="str">
        <x:f>'Task Matrix'!C76</x:f>
        <x:v>CT Geometry Calibration (Catphan Phantom)</x:v>
      </x:c>
      <x:c r="C106" s="21" t="str">
        <x:f>'Task Matrix'!D76</x:f>
        <x:v>health_medicine</x:v>
      </x:c>
      <x:c r="D106" s="21" t="str">
        <x:f>'Task Matrix'!AK76</x:f>
        <x:v>Partner or monitor</x:v>
      </x:c>
      <x:c r="E106" s="66" t="n">
        <x:f>'Task Matrix'!AF76</x:f>
        <x:v>23674.549862399996</x:v>
      </x:c>
      <x:c r="F106" s="67" t="n">
        <x:f>'Task Matrix'!V76</x:f>
        <x:v>44</x:v>
      </x:c>
      <x:c r="G106" s="67" t="n">
        <x:f>'Task Matrix'!Y76</x:f>
        <x:v>72</x:v>
      </x:c>
      <x:c r="H106" s="67" t="e">
        <x:f>IF(AND(OR($B$5="All domains",$B$5=C106),C106="legal"),E106,NA())</x:f>
        <x:v>#N/A</x:v>
      </x:c>
      <x:c r="I106" s="67" t="e">
        <x:f>IF(AND(OR($B$5="All domains",$B$5=C106),C106="legal"),F106,NA())</x:f>
        <x:v>#N/A</x:v>
      </x:c>
      <x:c r="J106" s="67" t="e">
        <x:f>IF(AND(OR($B$5="All domains",$B$5=C106),C106&lt;&gt;"legal",D106="Build now"),E106,NA())</x:f>
        <x:v>#N/A</x:v>
      </x:c>
      <x:c r="K106" s="67" t="e">
        <x:f>IF(AND(OR($B$5="All domains",$B$5=C106),C106&lt;&gt;"legal",D106="Build now"),F106,NA())</x:f>
        <x:v>#N/A</x:v>
      </x:c>
      <x:c r="L106" s="67" t="e">
        <x:f>IF(AND(OR($B$5="All domains",$B$5=C106),C106&lt;&gt;"legal",D106="Validate next"),E106,NA())</x:f>
        <x:v>#N/A</x:v>
      </x:c>
      <x:c r="M106" s="67" t="e">
        <x:f>IF(AND(OR($B$5="All domains",$B$5=C106),C106&lt;&gt;"legal",D106="Validate next"),F106,NA())</x:f>
        <x:v>#N/A</x:v>
      </x:c>
      <x:c r="N106" s="67" t="n">
        <x:f>IF(AND(OR($B$5="All domains",$B$5=C106),C106&lt;&gt;"legal",OR(D106="Partner or monitor",D106="Deprioritize")),E106,NA())</x:f>
        <x:v>23674.549862399996</x:v>
      </x:c>
      <x:c r="O106" s="67" t="n">
        <x:f>IF(AND(OR($B$5="All domains",$B$5=C106),C106&lt;&gt;"legal",OR(D106="Partner or monitor",D106="Deprioritize")),F106,NA())</x:f>
        <x:v>44</x:v>
      </x:c>
    </x:row>
    <x:row r="107">
      <x:c r="A107" s="21" t="str">
        <x:f>'Task Matrix'!B77</x:f>
        <x:v>health_medicine/sa_aki_phenotyping</x:v>
      </x:c>
      <x:c r="B107" s="21" t="str">
        <x:f>'Task Matrix'!C77</x:f>
        <x:v>Sepsis-Associated AKI Phenotyping</x:v>
      </x:c>
      <x:c r="C107" s="21" t="str">
        <x:f>'Task Matrix'!D77</x:f>
        <x:v>health_medicine</x:v>
      </x:c>
      <x:c r="D107" s="21" t="str">
        <x:f>'Task Matrix'!AK77</x:f>
        <x:v>Partner or monitor</x:v>
      </x:c>
      <x:c r="E107" s="66" t="n">
        <x:f>'Task Matrix'!AF77</x:f>
        <x:v>207405.09440000015</x:v>
      </x:c>
      <x:c r="F107" s="67" t="n">
        <x:f>'Task Matrix'!V77</x:f>
        <x:v>40</x:v>
      </x:c>
      <x:c r="G107" s="67" t="n">
        <x:f>'Task Matrix'!Y77</x:f>
        <x:v>84</x:v>
      </x:c>
      <x:c r="H107" s="67" t="e">
        <x:f>IF(AND(OR($B$5="All domains",$B$5=C107),C107="legal"),E107,NA())</x:f>
        <x:v>#N/A</x:v>
      </x:c>
      <x:c r="I107" s="67" t="e">
        <x:f>IF(AND(OR($B$5="All domains",$B$5=C107),C107="legal"),F107,NA())</x:f>
        <x:v>#N/A</x:v>
      </x:c>
      <x:c r="J107" s="67" t="e">
        <x:f>IF(AND(OR($B$5="All domains",$B$5=C107),C107&lt;&gt;"legal",D107="Build now"),E107,NA())</x:f>
        <x:v>#N/A</x:v>
      </x:c>
      <x:c r="K107" s="67" t="e">
        <x:f>IF(AND(OR($B$5="All domains",$B$5=C107),C107&lt;&gt;"legal",D107="Build now"),F107,NA())</x:f>
        <x:v>#N/A</x:v>
      </x:c>
      <x:c r="L107" s="67" t="e">
        <x:f>IF(AND(OR($B$5="All domains",$B$5=C107),C107&lt;&gt;"legal",D107="Validate next"),E107,NA())</x:f>
        <x:v>#N/A</x:v>
      </x:c>
      <x:c r="M107" s="67" t="e">
        <x:f>IF(AND(OR($B$5="All domains",$B$5=C107),C107&lt;&gt;"legal",D107="Validate next"),F107,NA())</x:f>
        <x:v>#N/A</x:v>
      </x:c>
      <x:c r="N107" s="67" t="n">
        <x:f>IF(AND(OR($B$5="All domains",$B$5=C107),C107&lt;&gt;"legal",OR(D107="Partner or monitor",D107="Deprioritize")),E107,NA())</x:f>
        <x:v>207405.09440000015</x:v>
      </x:c>
      <x:c r="O107" s="67" t="n">
        <x:f>IF(AND(OR($B$5="All domains",$B$5=C107),C107&lt;&gt;"legal",OR(D107="Partner or monitor",D107="Deprioritize")),F107,NA())</x:f>
        <x:v>40</x:v>
      </x:c>
    </x:row>
    <x:row r="108">
      <x:c r="A108" s="21" t="str">
        <x:f>'Task Matrix'!B78</x:f>
        <x:v>life_sciences/spatial_transcriptomics_spatial_domain_identification</x:v>
      </x:c>
      <x:c r="B108" s="21" t="str">
        <x:f>'Task Matrix'!C78</x:f>
        <x:v>Spatial Transcriptomics Spatial Domain Identification</x:v>
      </x:c>
      <x:c r="C108" s="21" t="str">
        <x:f>'Task Matrix'!D78</x:f>
        <x:v>life_sciences</x:v>
      </x:c>
      <x:c r="D108" s="21" t="str">
        <x:f>'Task Matrix'!AK78</x:f>
        <x:v>Partner or monitor</x:v>
      </x:c>
      <x:c r="E108" s="66" t="n">
        <x:f>'Task Matrix'!AF78</x:f>
        <x:v>23425.262400000007</x:v>
      </x:c>
      <x:c r="F108" s="67" t="n">
        <x:f>'Task Matrix'!V78</x:f>
        <x:v>74</x:v>
      </x:c>
      <x:c r="G108" s="67" t="n">
        <x:f>'Task Matrix'!Y78</x:f>
        <x:v>66</x:v>
      </x:c>
      <x:c r="H108" s="67" t="e">
        <x:f>IF(AND(OR($B$5="All domains",$B$5=C108),C108="legal"),E108,NA())</x:f>
        <x:v>#N/A</x:v>
      </x:c>
      <x:c r="I108" s="67" t="e">
        <x:f>IF(AND(OR($B$5="All domains",$B$5=C108),C108="legal"),F108,NA())</x:f>
        <x:v>#N/A</x:v>
      </x:c>
      <x:c r="J108" s="67" t="e">
        <x:f>IF(AND(OR($B$5="All domains",$B$5=C108),C108&lt;&gt;"legal",D108="Build now"),E108,NA())</x:f>
        <x:v>#N/A</x:v>
      </x:c>
      <x:c r="K108" s="67" t="e">
        <x:f>IF(AND(OR($B$5="All domains",$B$5=C108),C108&lt;&gt;"legal",D108="Build now"),F108,NA())</x:f>
        <x:v>#N/A</x:v>
      </x:c>
      <x:c r="L108" s="67" t="e">
        <x:f>IF(AND(OR($B$5="All domains",$B$5=C108),C108&lt;&gt;"legal",D108="Validate next"),E108,NA())</x:f>
        <x:v>#N/A</x:v>
      </x:c>
      <x:c r="M108" s="67" t="e">
        <x:f>IF(AND(OR($B$5="All domains",$B$5=C108),C108&lt;&gt;"legal",D108="Validate next"),F108,NA())</x:f>
        <x:v>#N/A</x:v>
      </x:c>
      <x:c r="N108" s="67" t="n">
        <x:f>IF(AND(OR($B$5="All domains",$B$5=C108),C108&lt;&gt;"legal",OR(D108="Partner or monitor",D108="Deprioritize")),E108,NA())</x:f>
        <x:v>23425.262400000007</x:v>
      </x:c>
      <x:c r="O108" s="67" t="n">
        <x:f>IF(AND(OR($B$5="All domains",$B$5=C108),C108&lt;&gt;"legal",OR(D108="Partner or monitor",D108="Deprioritize")),F108,NA())</x:f>
        <x:v>74</x:v>
      </x:c>
    </x:row>
    <x:row r="109">
      <x:c r="A109" s="21" t="str">
        <x:f>'Task Matrix'!B79</x:f>
        <x:v>health_medicine/nhanes_confounder_sensitivity_analysis</x:v>
      </x:c>
      <x:c r="B109" s="21" t="str">
        <x:f>'Task Matrix'!C79</x:f>
        <x:v>NHANES Confounder Sensitivity Analysis</x:v>
      </x:c>
      <x:c r="C109" s="21" t="str">
        <x:f>'Task Matrix'!D79</x:f>
        <x:v>health_medicine</x:v>
      </x:c>
      <x:c r="D109" s="21" t="str">
        <x:f>'Task Matrix'!AK79</x:f>
        <x:v>Partner or monitor</x:v>
      </x:c>
      <x:c r="E109" s="66" t="n">
        <x:f>'Task Matrix'!AF79</x:f>
        <x:v>23425.496627200002</x:v>
      </x:c>
      <x:c r="F109" s="67" t="n">
        <x:f>'Task Matrix'!V79</x:f>
        <x:v>64</x:v>
      </x:c>
      <x:c r="G109" s="67" t="n">
        <x:f>'Task Matrix'!Y79</x:f>
        <x:v>64</x:v>
      </x:c>
      <x:c r="H109" s="67" t="e">
        <x:f>IF(AND(OR($B$5="All domains",$B$5=C109),C109="legal"),E109,NA())</x:f>
        <x:v>#N/A</x:v>
      </x:c>
      <x:c r="I109" s="67" t="e">
        <x:f>IF(AND(OR($B$5="All domains",$B$5=C109),C109="legal"),F109,NA())</x:f>
        <x:v>#N/A</x:v>
      </x:c>
      <x:c r="J109" s="67" t="e">
        <x:f>IF(AND(OR($B$5="All domains",$B$5=C109),C109&lt;&gt;"legal",D109="Build now"),E109,NA())</x:f>
        <x:v>#N/A</x:v>
      </x:c>
      <x:c r="K109" s="67" t="e">
        <x:f>IF(AND(OR($B$5="All domains",$B$5=C109),C109&lt;&gt;"legal",D109="Build now"),F109,NA())</x:f>
        <x:v>#N/A</x:v>
      </x:c>
      <x:c r="L109" s="67" t="e">
        <x:f>IF(AND(OR($B$5="All domains",$B$5=C109),C109&lt;&gt;"legal",D109="Validate next"),E109,NA())</x:f>
        <x:v>#N/A</x:v>
      </x:c>
      <x:c r="M109" s="67" t="e">
        <x:f>IF(AND(OR($B$5="All domains",$B$5=C109),C109&lt;&gt;"legal",D109="Validate next"),F109,NA())</x:f>
        <x:v>#N/A</x:v>
      </x:c>
      <x:c r="N109" s="67" t="n">
        <x:f>IF(AND(OR($B$5="All domains",$B$5=C109),C109&lt;&gt;"legal",OR(D109="Partner or monitor",D109="Deprioritize")),E109,NA())</x:f>
        <x:v>23425.496627200002</x:v>
      </x:c>
      <x:c r="O109" s="67" t="n">
        <x:f>IF(AND(OR($B$5="All domains",$B$5=C109),C109&lt;&gt;"legal",OR(D109="Partner or monitor",D109="Deprioritize")),F109,NA())</x:f>
        <x:v>64</x:v>
      </x:c>
    </x:row>
    <x:row r="110">
      <x:c r="A110" s="21" t="str">
        <x:f>'Task Matrix'!B80</x:f>
        <x:v>business_finance/american_option_pricing_ls</x:v>
      </x:c>
      <x:c r="B110" s="21" t="str">
        <x:f>'Task Matrix'!C80</x:f>
        <x:v>American Option Pricing via Longstaff-Schwartz</x:v>
      </x:c>
      <x:c r="C110" s="21" t="str">
        <x:f>'Task Matrix'!D80</x:f>
        <x:v>business_finance</x:v>
      </x:c>
      <x:c r="D110" s="21" t="str">
        <x:f>'Task Matrix'!AK80</x:f>
        <x:v>Partner or monitor</x:v>
      </x:c>
      <x:c r="E110" s="66" t="n">
        <x:f>'Task Matrix'!AF80</x:f>
        <x:v>16063.379940000004</x:v>
      </x:c>
      <x:c r="F110" s="67" t="n">
        <x:f>'Task Matrix'!V80</x:f>
        <x:v>42</x:v>
      </x:c>
      <x:c r="G110" s="67" t="n">
        <x:f>'Task Matrix'!Y80</x:f>
        <x:v>76</x:v>
      </x:c>
      <x:c r="H110" s="67" t="e">
        <x:f>IF(AND(OR($B$5="All domains",$B$5=C110),C110="legal"),E110,NA())</x:f>
        <x:v>#N/A</x:v>
      </x:c>
      <x:c r="I110" s="67" t="e">
        <x:f>IF(AND(OR($B$5="All domains",$B$5=C110),C110="legal"),F110,NA())</x:f>
        <x:v>#N/A</x:v>
      </x:c>
      <x:c r="J110" s="67" t="e">
        <x:f>IF(AND(OR($B$5="All domains",$B$5=C110),C110&lt;&gt;"legal",D110="Build now"),E110,NA())</x:f>
        <x:v>#N/A</x:v>
      </x:c>
      <x:c r="K110" s="67" t="e">
        <x:f>IF(AND(OR($B$5="All domains",$B$5=C110),C110&lt;&gt;"legal",D110="Build now"),F110,NA())</x:f>
        <x:v>#N/A</x:v>
      </x:c>
      <x:c r="L110" s="67" t="e">
        <x:f>IF(AND(OR($B$5="All domains",$B$5=C110),C110&lt;&gt;"legal",D110="Validate next"),E110,NA())</x:f>
        <x:v>#N/A</x:v>
      </x:c>
      <x:c r="M110" s="67" t="e">
        <x:f>IF(AND(OR($B$5="All domains",$B$5=C110),C110&lt;&gt;"legal",D110="Validate next"),F110,NA())</x:f>
        <x:v>#N/A</x:v>
      </x:c>
      <x:c r="N110" s="67" t="n">
        <x:f>IF(AND(OR($B$5="All domains",$B$5=C110),C110&lt;&gt;"legal",OR(D110="Partner or monitor",D110="Deprioritize")),E110,NA())</x:f>
        <x:v>16063.379940000004</x:v>
      </x:c>
      <x:c r="O110" s="67" t="n">
        <x:f>IF(AND(OR($B$5="All domains",$B$5=C110),C110&lt;&gt;"legal",OR(D110="Partner or monitor",D110="Deprioritize")),F110,NA())</x:f>
        <x:v>42</x:v>
      </x:c>
    </x:row>
    <x:row r="111">
      <x:c r="A111" s="21" t="str">
        <x:f>'Task Matrix'!B81</x:f>
        <x:v>agriculture_env/ndvi_zonal_statistics_d02</x:v>
      </x:c>
      <x:c r="B111" s="21" t="str">
        <x:f>'Task Matrix'!C81</x:f>
        <x:v>Sentinel-2 NDVI Zonal Statistics</x:v>
      </x:c>
      <x:c r="C111" s="21" t="str">
        <x:f>'Task Matrix'!D81</x:f>
        <x:v>agriculture_env</x:v>
      </x:c>
      <x:c r="D111" s="21" t="str">
        <x:f>'Task Matrix'!AK81</x:f>
        <x:v>Partner or monitor</x:v>
      </x:c>
      <x:c r="E111" s="66" t="n">
        <x:f>'Task Matrix'!AF81</x:f>
        <x:v>17479.90608</x:v>
      </x:c>
      <x:c r="F111" s="67" t="n">
        <x:f>'Task Matrix'!V81</x:f>
        <x:v>44</x:v>
      </x:c>
      <x:c r="G111" s="67" t="n">
        <x:f>'Task Matrix'!Y81</x:f>
        <x:v>72</x:v>
      </x:c>
      <x:c r="H111" s="67" t="e">
        <x:f>IF(AND(OR($B$5="All domains",$B$5=C111),C111="legal"),E111,NA())</x:f>
        <x:v>#N/A</x:v>
      </x:c>
      <x:c r="I111" s="67" t="e">
        <x:f>IF(AND(OR($B$5="All domains",$B$5=C111),C111="legal"),F111,NA())</x:f>
        <x:v>#N/A</x:v>
      </x:c>
      <x:c r="J111" s="67" t="e">
        <x:f>IF(AND(OR($B$5="All domains",$B$5=C111),C111&lt;&gt;"legal",D111="Build now"),E111,NA())</x:f>
        <x:v>#N/A</x:v>
      </x:c>
      <x:c r="K111" s="67" t="e">
        <x:f>IF(AND(OR($B$5="All domains",$B$5=C111),C111&lt;&gt;"legal",D111="Build now"),F111,NA())</x:f>
        <x:v>#N/A</x:v>
      </x:c>
      <x:c r="L111" s="67" t="e">
        <x:f>IF(AND(OR($B$5="All domains",$B$5=C111),C111&lt;&gt;"legal",D111="Validate next"),E111,NA())</x:f>
        <x:v>#N/A</x:v>
      </x:c>
      <x:c r="M111" s="67" t="e">
        <x:f>IF(AND(OR($B$5="All domains",$B$5=C111),C111&lt;&gt;"legal",D111="Validate next"),F111,NA())</x:f>
        <x:v>#N/A</x:v>
      </x:c>
      <x:c r="N111" s="67" t="n">
        <x:f>IF(AND(OR($B$5="All domains",$B$5=C111),C111&lt;&gt;"legal",OR(D111="Partner or monitor",D111="Deprioritize")),E111,NA())</x:f>
        <x:v>17479.90608</x:v>
      </x:c>
      <x:c r="O111" s="67" t="n">
        <x:f>IF(AND(OR($B$5="All domains",$B$5=C111),C111&lt;&gt;"legal",OR(D111="Partner or monitor",D111="Deprioritize")),F111,NA())</x:f>
        <x:v>44</x:v>
      </x:c>
    </x:row>
    <x:row r="112">
      <x:c r="A112" s="21" t="str">
        <x:f>'Task Matrix'!B82</x:f>
        <x:v>transport_safety/capacitated_vehicle_routing_problems</x:v>
      </x:c>
      <x:c r="B112" s="21" t="str">
        <x:f>'Task Matrix'!C82</x:f>
        <x:v>Capacitated Vehicle Routing Problems</x:v>
      </x:c>
      <x:c r="C112" s="21" t="str">
        <x:f>'Task Matrix'!D82</x:f>
        <x:v>transport_safety</x:v>
      </x:c>
      <x:c r="D112" s="21" t="str">
        <x:f>'Task Matrix'!AK82</x:f>
        <x:v>Partner or monitor</x:v>
      </x:c>
      <x:c r="E112" s="66" t="n">
        <x:f>'Task Matrix'!AF82</x:f>
        <x:v>24809.37334272</x:v>
      </x:c>
      <x:c r="F112" s="67" t="n">
        <x:f>'Task Matrix'!V82</x:f>
        <x:v>64</x:v>
      </x:c>
      <x:c r="G112" s="67" t="n">
        <x:f>'Task Matrix'!Y82</x:f>
        <x:v>62</x:v>
      </x:c>
      <x:c r="H112" s="67" t="e">
        <x:f>IF(AND(OR($B$5="All domains",$B$5=C112),C112="legal"),E112,NA())</x:f>
        <x:v>#N/A</x:v>
      </x:c>
      <x:c r="I112" s="67" t="e">
        <x:f>IF(AND(OR($B$5="All domains",$B$5=C112),C112="legal"),F112,NA())</x:f>
        <x:v>#N/A</x:v>
      </x:c>
      <x:c r="J112" s="67" t="e">
        <x:f>IF(AND(OR($B$5="All domains",$B$5=C112),C112&lt;&gt;"legal",D112="Build now"),E112,NA())</x:f>
        <x:v>#N/A</x:v>
      </x:c>
      <x:c r="K112" s="67" t="e">
        <x:f>IF(AND(OR($B$5="All domains",$B$5=C112),C112&lt;&gt;"legal",D112="Build now"),F112,NA())</x:f>
        <x:v>#N/A</x:v>
      </x:c>
      <x:c r="L112" s="67" t="e">
        <x:f>IF(AND(OR($B$5="All domains",$B$5=C112),C112&lt;&gt;"legal",D112="Validate next"),E112,NA())</x:f>
        <x:v>#N/A</x:v>
      </x:c>
      <x:c r="M112" s="67" t="e">
        <x:f>IF(AND(OR($B$5="All domains",$B$5=C112),C112&lt;&gt;"legal",D112="Validate next"),F112,NA())</x:f>
        <x:v>#N/A</x:v>
      </x:c>
      <x:c r="N112" s="67" t="n">
        <x:f>IF(AND(OR($B$5="All domains",$B$5=C112),C112&lt;&gt;"legal",OR(D112="Partner or monitor",D112="Deprioritize")),E112,NA())</x:f>
        <x:v>24809.37334272</x:v>
      </x:c>
      <x:c r="O112" s="67" t="n">
        <x:f>IF(AND(OR($B$5="All domains",$B$5=C112),C112&lt;&gt;"legal",OR(D112="Partner or monitor",D112="Deprioritize")),F112,NA())</x:f>
        <x:v>64</x:v>
      </x:c>
    </x:row>
    <x:row r="113">
      <x:c r="A113" s="21" t="str">
        <x:f>'Task Matrix'!B83</x:f>
        <x:v>health_medicine/ecg_rhythm_conduction_ptbxl</x:v>
      </x:c>
      <x:c r="B113" s="21" t="str">
        <x:f>'Task Matrix'!C83</x:f>
        <x:v>ECG Rhythm Conduction Ptbxl</x:v>
      </x:c>
      <x:c r="C113" s="21" t="str">
        <x:f>'Task Matrix'!D83</x:f>
        <x:v>health_medicine</x:v>
      </x:c>
      <x:c r="D113" s="21" t="str">
        <x:f>'Task Matrix'!AK83</x:f>
        <x:v>Partner or monitor</x:v>
      </x:c>
      <x:c r="E113" s="66" t="n">
        <x:f>'Task Matrix'!AF83</x:f>
        <x:v>17545.912396800002</x:v>
      </x:c>
      <x:c r="F113" s="67" t="n">
        <x:f>'Task Matrix'!V83</x:f>
        <x:v>44</x:v>
      </x:c>
      <x:c r="G113" s="67" t="n">
        <x:f>'Task Matrix'!Y83</x:f>
        <x:v>72</x:v>
      </x:c>
      <x:c r="H113" s="67" t="e">
        <x:f>IF(AND(OR($B$5="All domains",$B$5=C113),C113="legal"),E113,NA())</x:f>
        <x:v>#N/A</x:v>
      </x:c>
      <x:c r="I113" s="67" t="e">
        <x:f>IF(AND(OR($B$5="All domains",$B$5=C113),C113="legal"),F113,NA())</x:f>
        <x:v>#N/A</x:v>
      </x:c>
      <x:c r="J113" s="67" t="e">
        <x:f>IF(AND(OR($B$5="All domains",$B$5=C113),C113&lt;&gt;"legal",D113="Build now"),E113,NA())</x:f>
        <x:v>#N/A</x:v>
      </x:c>
      <x:c r="K113" s="67" t="e">
        <x:f>IF(AND(OR($B$5="All domains",$B$5=C113),C113&lt;&gt;"legal",D113="Build now"),F113,NA())</x:f>
        <x:v>#N/A</x:v>
      </x:c>
      <x:c r="L113" s="67" t="e">
        <x:f>IF(AND(OR($B$5="All domains",$B$5=C113),C113&lt;&gt;"legal",D113="Validate next"),E113,NA())</x:f>
        <x:v>#N/A</x:v>
      </x:c>
      <x:c r="M113" s="67" t="e">
        <x:f>IF(AND(OR($B$5="All domains",$B$5=C113),C113&lt;&gt;"legal",D113="Validate next"),F113,NA())</x:f>
        <x:v>#N/A</x:v>
      </x:c>
      <x:c r="N113" s="67" t="n">
        <x:f>IF(AND(OR($B$5="All domains",$B$5=C113),C113&lt;&gt;"legal",OR(D113="Partner or monitor",D113="Deprioritize")),E113,NA())</x:f>
        <x:v>17545.912396800002</x:v>
      </x:c>
      <x:c r="O113" s="67" t="n">
        <x:f>IF(AND(OR($B$5="All domains",$B$5=C113),C113&lt;&gt;"legal",OR(D113="Partner or monitor",D113="Deprioritize")),F113,NA())</x:f>
        <x:v>44</x:v>
      </x:c>
    </x:row>
    <x:row r="114">
      <x:c r="A114" s="21" t="str">
        <x:f>'Task Matrix'!B84</x:f>
        <x:v>physical_sciences/climate_prediction</x:v>
      </x:c>
      <x:c r="B114" s="21" t="str">
        <x:f>'Task Matrix'!C84</x:f>
        <x:v>CMIP6 Climate Emulation Pipeline</x:v>
      </x:c>
      <x:c r="C114" s="21" t="str">
        <x:f>'Task Matrix'!D84</x:f>
        <x:v>physical_sciences</x:v>
      </x:c>
      <x:c r="D114" s="21" t="str">
        <x:f>'Task Matrix'!AK84</x:f>
        <x:v>Partner or monitor</x:v>
      </x:c>
      <x:c r="E114" s="66" t="n">
        <x:f>'Task Matrix'!AF84</x:f>
        <x:v>15439.114560000007</x:v>
      </x:c>
      <x:c r="F114" s="67" t="n">
        <x:f>'Task Matrix'!V84</x:f>
        <x:v>42</x:v>
      </x:c>
      <x:c r="G114" s="67" t="n">
        <x:f>'Task Matrix'!Y84</x:f>
        <x:v>76</x:v>
      </x:c>
      <x:c r="H114" s="67" t="e">
        <x:f>IF(AND(OR($B$5="All domains",$B$5=C114),C114="legal"),E114,NA())</x:f>
        <x:v>#N/A</x:v>
      </x:c>
      <x:c r="I114" s="67" t="e">
        <x:f>IF(AND(OR($B$5="All domains",$B$5=C114),C114="legal"),F114,NA())</x:f>
        <x:v>#N/A</x:v>
      </x:c>
      <x:c r="J114" s="67" t="e">
        <x:f>IF(AND(OR($B$5="All domains",$B$5=C114),C114&lt;&gt;"legal",D114="Build now"),E114,NA())</x:f>
        <x:v>#N/A</x:v>
      </x:c>
      <x:c r="K114" s="67" t="e">
        <x:f>IF(AND(OR($B$5="All domains",$B$5=C114),C114&lt;&gt;"legal",D114="Build now"),F114,NA())</x:f>
        <x:v>#N/A</x:v>
      </x:c>
      <x:c r="L114" s="67" t="e">
        <x:f>IF(AND(OR($B$5="All domains",$B$5=C114),C114&lt;&gt;"legal",D114="Validate next"),E114,NA())</x:f>
        <x:v>#N/A</x:v>
      </x:c>
      <x:c r="M114" s="67" t="e">
        <x:f>IF(AND(OR($B$5="All domains",$B$5=C114),C114&lt;&gt;"legal",D114="Validate next"),F114,NA())</x:f>
        <x:v>#N/A</x:v>
      </x:c>
      <x:c r="N114" s="67" t="n">
        <x:f>IF(AND(OR($B$5="All domains",$B$5=C114),C114&lt;&gt;"legal",OR(D114="Partner or monitor",D114="Deprioritize")),E114,NA())</x:f>
        <x:v>15439.114560000007</x:v>
      </x:c>
      <x:c r="O114" s="67" t="n">
        <x:f>IF(AND(OR($B$5="All domains",$B$5=C114),C114&lt;&gt;"legal",OR(D114="Partner or monitor",D114="Deprioritize")),F114,NA())</x:f>
        <x:v>42</x:v>
      </x:c>
    </x:row>
    <x:row r="115">
      <x:c r="A115" s="21" t="str">
        <x:f>'Task Matrix'!B85</x:f>
        <x:v>computing_math/cost_optimization_1</x:v>
      </x:c>
      <x:c r="B115" s="21" t="str">
        <x:f>'Task Matrix'!C85</x:f>
        <x:v>AWS Cost Optimization Analysis</x:v>
      </x:c>
      <x:c r="C115" s="21" t="str">
        <x:f>'Task Matrix'!D85</x:f>
        <x:v>computing_math</x:v>
      </x:c>
      <x:c r="D115" s="21" t="str">
        <x:f>'Task Matrix'!AK85</x:f>
        <x:v>Partner or monitor</x:v>
      </x:c>
      <x:c r="E115" s="66" t="n">
        <x:f>'Task Matrix'!AF85</x:f>
        <x:v>18757.289471999997</x:v>
      </x:c>
      <x:c r="F115" s="67" t="n">
        <x:f>'Task Matrix'!V85</x:f>
        <x:v>44</x:v>
      </x:c>
      <x:c r="G115" s="67" t="n">
        <x:f>'Task Matrix'!Y85</x:f>
        <x:v>64</x:v>
      </x:c>
      <x:c r="H115" s="67" t="e">
        <x:f>IF(AND(OR($B$5="All domains",$B$5=C115),C115="legal"),E115,NA())</x:f>
        <x:v>#N/A</x:v>
      </x:c>
      <x:c r="I115" s="67" t="e">
        <x:f>IF(AND(OR($B$5="All domains",$B$5=C115),C115="legal"),F115,NA())</x:f>
        <x:v>#N/A</x:v>
      </x:c>
      <x:c r="J115" s="67" t="e">
        <x:f>IF(AND(OR($B$5="All domains",$B$5=C115),C115&lt;&gt;"legal",D115="Build now"),E115,NA())</x:f>
        <x:v>#N/A</x:v>
      </x:c>
      <x:c r="K115" s="67" t="e">
        <x:f>IF(AND(OR($B$5="All domains",$B$5=C115),C115&lt;&gt;"legal",D115="Build now"),F115,NA())</x:f>
        <x:v>#N/A</x:v>
      </x:c>
      <x:c r="L115" s="67" t="e">
        <x:f>IF(AND(OR($B$5="All domains",$B$5=C115),C115&lt;&gt;"legal",D115="Validate next"),E115,NA())</x:f>
        <x:v>#N/A</x:v>
      </x:c>
      <x:c r="M115" s="67" t="e">
        <x:f>IF(AND(OR($B$5="All domains",$B$5=C115),C115&lt;&gt;"legal",D115="Validate next"),F115,NA())</x:f>
        <x:v>#N/A</x:v>
      </x:c>
      <x:c r="N115" s="67" t="n">
        <x:f>IF(AND(OR($B$5="All domains",$B$5=C115),C115&lt;&gt;"legal",OR(D115="Partner or monitor",D115="Deprioritize")),E115,NA())</x:f>
        <x:v>18757.289471999997</x:v>
      </x:c>
      <x:c r="O115" s="67" t="n">
        <x:f>IF(AND(OR($B$5="All domains",$B$5=C115),C115&lt;&gt;"legal",OR(D115="Partner or monitor",D115="Deprioritize")),F115,NA())</x:f>
        <x:v>44</x:v>
      </x:c>
    </x:row>
    <x:row r="116">
      <x:c r="A116" s="21" t="str">
        <x:f>'Task Matrix'!B86</x:f>
        <x:v>computing_math/synthetic_causal_structure_inference</x:v>
      </x:c>
      <x:c r="B116" s="21" t="str">
        <x:f>'Task Matrix'!C86</x:f>
        <x:v>Synthetic Causal Structure Inference</x:v>
      </x:c>
      <x:c r="C116" s="21" t="str">
        <x:f>'Task Matrix'!D86</x:f>
        <x:v>computing_math</x:v>
      </x:c>
      <x:c r="D116" s="21" t="str">
        <x:f>'Task Matrix'!AK86</x:f>
        <x:v>Partner or monitor</x:v>
      </x:c>
      <x:c r="E116" s="66" t="n">
        <x:f>'Task Matrix'!AF86</x:f>
        <x:v>12711.974592</x:v>
      </x:c>
      <x:c r="F116" s="67" t="n">
        <x:f>'Task Matrix'!V86</x:f>
        <x:v>34</x:v>
      </x:c>
      <x:c r="G116" s="67" t="n">
        <x:f>'Task Matrix'!Y86</x:f>
        <x:v>82</x:v>
      </x:c>
      <x:c r="H116" s="67" t="e">
        <x:f>IF(AND(OR($B$5="All domains",$B$5=C116),C116="legal"),E116,NA())</x:f>
        <x:v>#N/A</x:v>
      </x:c>
      <x:c r="I116" s="67" t="e">
        <x:f>IF(AND(OR($B$5="All domains",$B$5=C116),C116="legal"),F116,NA())</x:f>
        <x:v>#N/A</x:v>
      </x:c>
      <x:c r="J116" s="67" t="e">
        <x:f>IF(AND(OR($B$5="All domains",$B$5=C116),C116&lt;&gt;"legal",D116="Build now"),E116,NA())</x:f>
        <x:v>#N/A</x:v>
      </x:c>
      <x:c r="K116" s="67" t="e">
        <x:f>IF(AND(OR($B$5="All domains",$B$5=C116),C116&lt;&gt;"legal",D116="Build now"),F116,NA())</x:f>
        <x:v>#N/A</x:v>
      </x:c>
      <x:c r="L116" s="67" t="e">
        <x:f>IF(AND(OR($B$5="All domains",$B$5=C116),C116&lt;&gt;"legal",D116="Validate next"),E116,NA())</x:f>
        <x:v>#N/A</x:v>
      </x:c>
      <x:c r="M116" s="67" t="e">
        <x:f>IF(AND(OR($B$5="All domains",$B$5=C116),C116&lt;&gt;"legal",D116="Validate next"),F116,NA())</x:f>
        <x:v>#N/A</x:v>
      </x:c>
      <x:c r="N116" s="67" t="n">
        <x:f>IF(AND(OR($B$5="All domains",$B$5=C116),C116&lt;&gt;"legal",OR(D116="Partner or monitor",D116="Deprioritize")),E116,NA())</x:f>
        <x:v>12711.974592</x:v>
      </x:c>
      <x:c r="O116" s="67" t="n">
        <x:f>IF(AND(OR($B$5="All domains",$B$5=C116),C116&lt;&gt;"legal",OR(D116="Partner or monitor",D116="Deprioritize")),F116,NA())</x:f>
        <x:v>34</x:v>
      </x:c>
    </x:row>
    <x:row r="117">
      <x:c r="A117" s="21" t="str">
        <x:f>'Task Matrix'!B87</x:f>
        <x:v>physical_sciences/hst_acs_wfc_visit_reduction</x:v>
      </x:c>
      <x:c r="B117" s="21" t="str">
        <x:f>'Task Matrix'!C87</x:f>
        <x:v>HST ACS/WFC Visit Reduction</x:v>
      </x:c>
      <x:c r="C117" s="21" t="str">
        <x:f>'Task Matrix'!D87</x:f>
        <x:v>physical_sciences</x:v>
      </x:c>
      <x:c r="D117" s="21" t="str">
        <x:f>'Task Matrix'!AK87</x:f>
        <x:v>Partner or monitor</x:v>
      </x:c>
      <x:c r="E117" s="66" t="n">
        <x:f>'Task Matrix'!AF87</x:f>
        <x:v>19244.536000000004</x:v>
      </x:c>
      <x:c r="F117" s="67" t="n">
        <x:f>'Task Matrix'!V87</x:f>
        <x:v>64</x:v>
      </x:c>
      <x:c r="G117" s="67" t="n">
        <x:f>'Task Matrix'!Y87</x:f>
        <x:v>56</x:v>
      </x:c>
      <x:c r="H117" s="67" t="e">
        <x:f>IF(AND(OR($B$5="All domains",$B$5=C117),C117="legal"),E117,NA())</x:f>
        <x:v>#N/A</x:v>
      </x:c>
      <x:c r="I117" s="67" t="e">
        <x:f>IF(AND(OR($B$5="All domains",$B$5=C117),C117="legal"),F117,NA())</x:f>
        <x:v>#N/A</x:v>
      </x:c>
      <x:c r="J117" s="67" t="e">
        <x:f>IF(AND(OR($B$5="All domains",$B$5=C117),C117&lt;&gt;"legal",D117="Build now"),E117,NA())</x:f>
        <x:v>#N/A</x:v>
      </x:c>
      <x:c r="K117" s="67" t="e">
        <x:f>IF(AND(OR($B$5="All domains",$B$5=C117),C117&lt;&gt;"legal",D117="Build now"),F117,NA())</x:f>
        <x:v>#N/A</x:v>
      </x:c>
      <x:c r="L117" s="67" t="e">
        <x:f>IF(AND(OR($B$5="All domains",$B$5=C117),C117&lt;&gt;"legal",D117="Validate next"),E117,NA())</x:f>
        <x:v>#N/A</x:v>
      </x:c>
      <x:c r="M117" s="67" t="e">
        <x:f>IF(AND(OR($B$5="All domains",$B$5=C117),C117&lt;&gt;"legal",D117="Validate next"),F117,NA())</x:f>
        <x:v>#N/A</x:v>
      </x:c>
      <x:c r="N117" s="67" t="n">
        <x:f>IF(AND(OR($B$5="All domains",$B$5=C117),C117&lt;&gt;"legal",OR(D117="Partner or monitor",D117="Deprioritize")),E117,NA())</x:f>
        <x:v>19244.536000000004</x:v>
      </x:c>
      <x:c r="O117" s="67" t="n">
        <x:f>IF(AND(OR($B$5="All domains",$B$5=C117),C117&lt;&gt;"legal",OR(D117="Partner or monitor",D117="Deprioritize")),F117,NA())</x:f>
        <x:v>64</x:v>
      </x:c>
    </x:row>
    <x:row r="118">
      <x:c r="A118" s="21" t="str">
        <x:f>'Task Matrix'!B88</x:f>
        <x:v>life_sciences/genomic_interval_processing_1</x:v>
      </x:c>
      <x:c r="B118" s="21" t="str">
        <x:f>'Task Matrix'!C88</x:f>
        <x:v>ENCODE CTCF Union Peak Intervals</x:v>
      </x:c>
      <x:c r="C118" s="21" t="str">
        <x:f>'Task Matrix'!D88</x:f>
        <x:v>life_sciences</x:v>
      </x:c>
      <x:c r="D118" s="21" t="str">
        <x:f>'Task Matrix'!AK88</x:f>
        <x:v>Partner or monitor</x:v>
      </x:c>
      <x:c r="E118" s="66" t="n">
        <x:f>'Task Matrix'!AF88</x:f>
        <x:v>19244.536000000004</x:v>
      </x:c>
      <x:c r="F118" s="67" t="n">
        <x:f>'Task Matrix'!V88</x:f>
        <x:v>64</x:v>
      </x:c>
      <x:c r="G118" s="67" t="n">
        <x:f>'Task Matrix'!Y88</x:f>
        <x:v>56</x:v>
      </x:c>
      <x:c r="H118" s="67" t="e">
        <x:f>IF(AND(OR($B$5="All domains",$B$5=C118),C118="legal"),E118,NA())</x:f>
        <x:v>#N/A</x:v>
      </x:c>
      <x:c r="I118" s="67" t="e">
        <x:f>IF(AND(OR($B$5="All domains",$B$5=C118),C118="legal"),F118,NA())</x:f>
        <x:v>#N/A</x:v>
      </x:c>
      <x:c r="J118" s="67" t="e">
        <x:f>IF(AND(OR($B$5="All domains",$B$5=C118),C118&lt;&gt;"legal",D118="Build now"),E118,NA())</x:f>
        <x:v>#N/A</x:v>
      </x:c>
      <x:c r="K118" s="67" t="e">
        <x:f>IF(AND(OR($B$5="All domains",$B$5=C118),C118&lt;&gt;"legal",D118="Build now"),F118,NA())</x:f>
        <x:v>#N/A</x:v>
      </x:c>
      <x:c r="L118" s="67" t="e">
        <x:f>IF(AND(OR($B$5="All domains",$B$5=C118),C118&lt;&gt;"legal",D118="Validate next"),E118,NA())</x:f>
        <x:v>#N/A</x:v>
      </x:c>
      <x:c r="M118" s="67" t="e">
        <x:f>IF(AND(OR($B$5="All domains",$B$5=C118),C118&lt;&gt;"legal",D118="Validate next"),F118,NA())</x:f>
        <x:v>#N/A</x:v>
      </x:c>
      <x:c r="N118" s="67" t="n">
        <x:f>IF(AND(OR($B$5="All domains",$B$5=C118),C118&lt;&gt;"legal",OR(D118="Partner or monitor",D118="Deprioritize")),E118,NA())</x:f>
        <x:v>19244.536000000004</x:v>
      </x:c>
      <x:c r="O118" s="67" t="n">
        <x:f>IF(AND(OR($B$5="All domains",$B$5=C118),C118&lt;&gt;"legal",OR(D118="Partner or monitor",D118="Deprioritize")),F118,NA())</x:f>
        <x:v>64</x:v>
      </x:c>
    </x:row>
    <x:row r="119">
      <x:c r="A119" s="21" t="str">
        <x:f>'Task Matrix'!B89</x:f>
        <x:v>education_info/moodle_gradebook_closeout_reconciliation</x:v>
      </x:c>
      <x:c r="B119" s="21" t="str">
        <x:f>'Task Matrix'!C89</x:f>
        <x:v>Moodle Gradebook Closeout Reconciliation</x:v>
      </x:c>
      <x:c r="C119" s="21" t="str">
        <x:f>'Task Matrix'!D89</x:f>
        <x:v>education_info</x:v>
      </x:c>
      <x:c r="D119" s="21" t="str">
        <x:f>'Task Matrix'!AK89</x:f>
        <x:v>Partner or monitor</x:v>
      </x:c>
      <x:c r="E119" s="66" t="n">
        <x:f>'Task Matrix'!AF89</x:f>
        <x:v>12703.375360000004</x:v>
      </x:c>
      <x:c r="F119" s="67" t="n">
        <x:f>'Task Matrix'!V89</x:f>
        <x:v>20</x:v>
      </x:c>
      <x:c r="G119" s="67" t="n">
        <x:f>'Task Matrix'!Y89</x:f>
        <x:v>56</x:v>
      </x:c>
      <x:c r="H119" s="67" t="e">
        <x:f>IF(AND(OR($B$5="All domains",$B$5=C119),C119="legal"),E119,NA())</x:f>
        <x:v>#N/A</x:v>
      </x:c>
      <x:c r="I119" s="67" t="e">
        <x:f>IF(AND(OR($B$5="All domains",$B$5=C119),C119="legal"),F119,NA())</x:f>
        <x:v>#N/A</x:v>
      </x:c>
      <x:c r="J119" s="67" t="e">
        <x:f>IF(AND(OR($B$5="All domains",$B$5=C119),C119&lt;&gt;"legal",D119="Build now"),E119,NA())</x:f>
        <x:v>#N/A</x:v>
      </x:c>
      <x:c r="K119" s="67" t="e">
        <x:f>IF(AND(OR($B$5="All domains",$B$5=C119),C119&lt;&gt;"legal",D119="Build now"),F119,NA())</x:f>
        <x:v>#N/A</x:v>
      </x:c>
      <x:c r="L119" s="67" t="e">
        <x:f>IF(AND(OR($B$5="All domains",$B$5=C119),C119&lt;&gt;"legal",D119="Validate next"),E119,NA())</x:f>
        <x:v>#N/A</x:v>
      </x:c>
      <x:c r="M119" s="67" t="e">
        <x:f>IF(AND(OR($B$5="All domains",$B$5=C119),C119&lt;&gt;"legal",D119="Validate next"),F119,NA())</x:f>
        <x:v>#N/A</x:v>
      </x:c>
      <x:c r="N119" s="67" t="n">
        <x:f>IF(AND(OR($B$5="All domains",$B$5=C119),C119&lt;&gt;"legal",OR(D119="Partner or monitor",D119="Deprioritize")),E119,NA())</x:f>
        <x:v>12703.375360000004</x:v>
      </x:c>
      <x:c r="O119" s="67" t="n">
        <x:f>IF(AND(OR($B$5="All domains",$B$5=C119),C119&lt;&gt;"legal",OR(D119="Partner or monitor",D119="Deprioritize")),F119,NA())</x:f>
        <x:v>20</x:v>
      </x:c>
    </x:row>
    <x:row r="120">
      <x:c r="A120" s="21" t="str">
        <x:f>'Task Matrix'!B90</x:f>
        <x:v>computing_math/particle_filter_nonlinear_tracking</x:v>
      </x:c>
      <x:c r="B120" s="21" t="str">
        <x:f>'Task Matrix'!C90</x:f>
        <x:v>Particle Filter Nonlinear Tracking</x:v>
      </x:c>
      <x:c r="C120" s="21" t="str">
        <x:f>'Task Matrix'!D90</x:f>
        <x:v>computing_math</x:v>
      </x:c>
      <x:c r="D120" s="21" t="str">
        <x:f>'Task Matrix'!AK90</x:f>
        <x:v>Partner or monitor</x:v>
      </x:c>
      <x:c r="E120" s="66" t="n">
        <x:f>'Task Matrix'!AF90</x:f>
        <x:v>13155.169871999997</x:v>
      </x:c>
      <x:c r="F120" s="67" t="n">
        <x:f>'Task Matrix'!V90</x:f>
        <x:v>42</x:v>
      </x:c>
      <x:c r="G120" s="67" t="n">
        <x:f>'Task Matrix'!Y90</x:f>
        <x:v>76</x:v>
      </x:c>
      <x:c r="H120" s="67" t="e">
        <x:f>IF(AND(OR($B$5="All domains",$B$5=C120),C120="legal"),E120,NA())</x:f>
        <x:v>#N/A</x:v>
      </x:c>
      <x:c r="I120" s="67" t="e">
        <x:f>IF(AND(OR($B$5="All domains",$B$5=C120),C120="legal"),F120,NA())</x:f>
        <x:v>#N/A</x:v>
      </x:c>
      <x:c r="J120" s="67" t="e">
        <x:f>IF(AND(OR($B$5="All domains",$B$5=C120),C120&lt;&gt;"legal",D120="Build now"),E120,NA())</x:f>
        <x:v>#N/A</x:v>
      </x:c>
      <x:c r="K120" s="67" t="e">
        <x:f>IF(AND(OR($B$5="All domains",$B$5=C120),C120&lt;&gt;"legal",D120="Build now"),F120,NA())</x:f>
        <x:v>#N/A</x:v>
      </x:c>
      <x:c r="L120" s="67" t="e">
        <x:f>IF(AND(OR($B$5="All domains",$B$5=C120),C120&lt;&gt;"legal",D120="Validate next"),E120,NA())</x:f>
        <x:v>#N/A</x:v>
      </x:c>
      <x:c r="M120" s="67" t="e">
        <x:f>IF(AND(OR($B$5="All domains",$B$5=C120),C120&lt;&gt;"legal",D120="Validate next"),F120,NA())</x:f>
        <x:v>#N/A</x:v>
      </x:c>
      <x:c r="N120" s="67" t="n">
        <x:f>IF(AND(OR($B$5="All domains",$B$5=C120),C120&lt;&gt;"legal",OR(D120="Partner or monitor",D120="Deprioritize")),E120,NA())</x:f>
        <x:v>13155.169871999997</x:v>
      </x:c>
      <x:c r="O120" s="67" t="n">
        <x:f>IF(AND(OR($B$5="All domains",$B$5=C120),C120&lt;&gt;"legal",OR(D120="Partner or monitor",D120="Deprioritize")),F120,NA())</x:f>
        <x:v>42</x:v>
      </x:c>
    </x:row>
    <x:row r="121">
      <x:c r="A121" s="21" t="str">
        <x:f>'Task Matrix'!B91</x:f>
        <x:v>physical_sciences/gillespie_gene_regulatory_network</x:v>
      </x:c>
      <x:c r="B121" s="21" t="str">
        <x:f>'Task Matrix'!C91</x:f>
        <x:v>Gillespie SSA For A Tristable Gene Regulatory Network</x:v>
      </x:c>
      <x:c r="C121" s="21" t="str">
        <x:f>'Task Matrix'!D91</x:f>
        <x:v>physical_sciences</x:v>
      </x:c>
      <x:c r="D121" s="21" t="str">
        <x:f>'Task Matrix'!AK91</x:f>
        <x:v>Deprioritize</x:v>
      </x:c>
      <x:c r="E121" s="66" t="n">
        <x:f>'Task Matrix'!AF91</x:f>
        <x:v>12866.655</x:v>
      </x:c>
      <x:c r="F121" s="67" t="n">
        <x:f>'Task Matrix'!V91</x:f>
        <x:v>50</x:v>
      </x:c>
      <x:c r="G121" s="67" t="n">
        <x:f>'Task Matrix'!Y91</x:f>
        <x:v>84</x:v>
      </x:c>
      <x:c r="H121" s="67" t="e">
        <x:f>IF(AND(OR($B$5="All domains",$B$5=C121),C121="legal"),E121,NA())</x:f>
        <x:v>#N/A</x:v>
      </x:c>
      <x:c r="I121" s="67" t="e">
        <x:f>IF(AND(OR($B$5="All domains",$B$5=C121),C121="legal"),F121,NA())</x:f>
        <x:v>#N/A</x:v>
      </x:c>
      <x:c r="J121" s="67" t="e">
        <x:f>IF(AND(OR($B$5="All domains",$B$5=C121),C121&lt;&gt;"legal",D121="Build now"),E121,NA())</x:f>
        <x:v>#N/A</x:v>
      </x:c>
      <x:c r="K121" s="67" t="e">
        <x:f>IF(AND(OR($B$5="All domains",$B$5=C121),C121&lt;&gt;"legal",D121="Build now"),F121,NA())</x:f>
        <x:v>#N/A</x:v>
      </x:c>
      <x:c r="L121" s="67" t="e">
        <x:f>IF(AND(OR($B$5="All domains",$B$5=C121),C121&lt;&gt;"legal",D121="Validate next"),E121,NA())</x:f>
        <x:v>#N/A</x:v>
      </x:c>
      <x:c r="M121" s="67" t="e">
        <x:f>IF(AND(OR($B$5="All domains",$B$5=C121),C121&lt;&gt;"legal",D121="Validate next"),F121,NA())</x:f>
        <x:v>#N/A</x:v>
      </x:c>
      <x:c r="N121" s="67" t="n">
        <x:f>IF(AND(OR($B$5="All domains",$B$5=C121),C121&lt;&gt;"legal",OR(D121="Partner or monitor",D121="Deprioritize")),E121,NA())</x:f>
        <x:v>12866.655</x:v>
      </x:c>
      <x:c r="O121" s="67" t="n">
        <x:f>IF(AND(OR($B$5="All domains",$B$5=C121),C121&lt;&gt;"legal",OR(D121="Partner or monitor",D121="Deprioritize")),F121,NA())</x:f>
        <x:v>50</x:v>
      </x:c>
    </x:row>
    <x:row r="122">
      <x:c r="A122" s="21" t="str">
        <x:f>'Task Matrix'!B92</x:f>
        <x:v>life_sciences/idp_ensemble_scoring</x:v>
      </x:c>
      <x:c r="B122" s="21" t="str">
        <x:f>'Task Matrix'!C92</x:f>
        <x:v>IDP Ensemble Scoring with Given Open-Source Tools</x:v>
      </x:c>
      <x:c r="C122" s="21" t="str">
        <x:f>'Task Matrix'!D92</x:f>
        <x:v>life_sciences</x:v>
      </x:c>
      <x:c r="D122" s="21" t="str">
        <x:f>'Task Matrix'!AK92</x:f>
        <x:v>Partner or monitor</x:v>
      </x:c>
      <x:c r="E122" s="66" t="n">
        <x:f>'Task Matrix'!AF92</x:f>
        <x:v>19244.536000000004</x:v>
      </x:c>
      <x:c r="F122" s="67" t="n">
        <x:f>'Task Matrix'!V92</x:f>
        <x:v>64</x:v>
      </x:c>
      <x:c r="G122" s="67" t="n">
        <x:f>'Task Matrix'!Y92</x:f>
        <x:v>56</x:v>
      </x:c>
      <x:c r="H122" s="67" t="e">
        <x:f>IF(AND(OR($B$5="All domains",$B$5=C122),C122="legal"),E122,NA())</x:f>
        <x:v>#N/A</x:v>
      </x:c>
      <x:c r="I122" s="67" t="e">
        <x:f>IF(AND(OR($B$5="All domains",$B$5=C122),C122="legal"),F122,NA())</x:f>
        <x:v>#N/A</x:v>
      </x:c>
      <x:c r="J122" s="67" t="e">
        <x:f>IF(AND(OR($B$5="All domains",$B$5=C122),C122&lt;&gt;"legal",D122="Build now"),E122,NA())</x:f>
        <x:v>#N/A</x:v>
      </x:c>
      <x:c r="K122" s="67" t="e">
        <x:f>IF(AND(OR($B$5="All domains",$B$5=C122),C122&lt;&gt;"legal",D122="Build now"),F122,NA())</x:f>
        <x:v>#N/A</x:v>
      </x:c>
      <x:c r="L122" s="67" t="e">
        <x:f>IF(AND(OR($B$5="All domains",$B$5=C122),C122&lt;&gt;"legal",D122="Validate next"),E122,NA())</x:f>
        <x:v>#N/A</x:v>
      </x:c>
      <x:c r="M122" s="67" t="e">
        <x:f>IF(AND(OR($B$5="All domains",$B$5=C122),C122&lt;&gt;"legal",D122="Validate next"),F122,NA())</x:f>
        <x:v>#N/A</x:v>
      </x:c>
      <x:c r="N122" s="67" t="n">
        <x:f>IF(AND(OR($B$5="All domains",$B$5=C122),C122&lt;&gt;"legal",OR(D122="Partner or monitor",D122="Deprioritize")),E122,NA())</x:f>
        <x:v>19244.536000000004</x:v>
      </x:c>
      <x:c r="O122" s="67" t="n">
        <x:f>IF(AND(OR($B$5="All domains",$B$5=C122),C122&lt;&gt;"legal",OR(D122="Partner or monitor",D122="Deprioritize")),F122,NA())</x:f>
        <x:v>64</x:v>
      </x:c>
    </x:row>
    <x:row r="123">
      <x:c r="A123" s="21" t="str">
        <x:f>'Task Matrix'!B93</x:f>
        <x:v>physical_sciences/phonon_dispersion_thermodynamics</x:v>
      </x:c>
      <x:c r="B123" s="21" t="str">
        <x:f>'Task Matrix'!C93</x:f>
        <x:v>2D Hexagonal Lattice Phonon Dispersion And Thermodynamics</x:v>
      </x:c>
      <x:c r="C123" s="21" t="str">
        <x:f>'Task Matrix'!D93</x:f>
        <x:v>physical_sciences</x:v>
      </x:c>
      <x:c r="D123" s="21" t="str">
        <x:f>'Task Matrix'!AK93</x:f>
        <x:v>Deprioritize</x:v>
      </x:c>
      <x:c r="E123" s="66" t="n">
        <x:f>'Task Matrix'!AF93</x:f>
        <x:v>12866.655</x:v>
      </x:c>
      <x:c r="F123" s="67" t="n">
        <x:f>'Task Matrix'!V93</x:f>
        <x:v>50</x:v>
      </x:c>
      <x:c r="G123" s="67" t="n">
        <x:f>'Task Matrix'!Y93</x:f>
        <x:v>76</x:v>
      </x:c>
      <x:c r="H123" s="67" t="e">
        <x:f>IF(AND(OR($B$5="All domains",$B$5=C123),C123="legal"),E123,NA())</x:f>
        <x:v>#N/A</x:v>
      </x:c>
      <x:c r="I123" s="67" t="e">
        <x:f>IF(AND(OR($B$5="All domains",$B$5=C123),C123="legal"),F123,NA())</x:f>
        <x:v>#N/A</x:v>
      </x:c>
      <x:c r="J123" s="67" t="e">
        <x:f>IF(AND(OR($B$5="All domains",$B$5=C123),C123&lt;&gt;"legal",D123="Build now"),E123,NA())</x:f>
        <x:v>#N/A</x:v>
      </x:c>
      <x:c r="K123" s="67" t="e">
        <x:f>IF(AND(OR($B$5="All domains",$B$5=C123),C123&lt;&gt;"legal",D123="Build now"),F123,NA())</x:f>
        <x:v>#N/A</x:v>
      </x:c>
      <x:c r="L123" s="67" t="e">
        <x:f>IF(AND(OR($B$5="All domains",$B$5=C123),C123&lt;&gt;"legal",D123="Validate next"),E123,NA())</x:f>
        <x:v>#N/A</x:v>
      </x:c>
      <x:c r="M123" s="67" t="e">
        <x:f>IF(AND(OR($B$5="All domains",$B$5=C123),C123&lt;&gt;"legal",D123="Validate next"),F123,NA())</x:f>
        <x:v>#N/A</x:v>
      </x:c>
      <x:c r="N123" s="67" t="n">
        <x:f>IF(AND(OR($B$5="All domains",$B$5=C123),C123&lt;&gt;"legal",OR(D123="Partner or monitor",D123="Deprioritize")),E123,NA())</x:f>
        <x:v>12866.655</x:v>
      </x:c>
      <x:c r="O123" s="67" t="n">
        <x:f>IF(AND(OR($B$5="All domains",$B$5=C123),C123&lt;&gt;"legal",OR(D123="Partner or monitor",D123="Deprioritize")),F123,NA())</x:f>
        <x:v>50</x:v>
      </x:c>
    </x:row>
    <x:row r="124">
      <x:c r="A124" s="21" t="str">
        <x:f>'Task Matrix'!B94</x:f>
        <x:v>health_medicine/flusight_offline_hosp_forecast_2024_12_14</x:v>
      </x:c>
      <x:c r="B124" s="21" t="str">
        <x:f>'Task Matrix'!C94</x:f>
        <x:v>FluSight Offline Hospital Forecast</x:v>
      </x:c>
      <x:c r="C124" s="21" t="str">
        <x:f>'Task Matrix'!D94</x:f>
        <x:v>health_medicine</x:v>
      </x:c>
      <x:c r="D124" s="21" t="str">
        <x:f>'Task Matrix'!AK94</x:f>
        <x:v>Partner or monitor</x:v>
      </x:c>
      <x:c r="E124" s="66" t="n">
        <x:f>'Task Matrix'!AF94</x:f>
        <x:v>15067.741439999998</x:v>
      </x:c>
      <x:c r="F124" s="67" t="n">
        <x:f>'Task Matrix'!V94</x:f>
        <x:v>50</x:v>
      </x:c>
      <x:c r="G124" s="67" t="n">
        <x:f>'Task Matrix'!Y94</x:f>
        <x:v>76</x:v>
      </x:c>
      <x:c r="H124" s="67" t="e">
        <x:f>IF(AND(OR($B$5="All domains",$B$5=C124),C124="legal"),E124,NA())</x:f>
        <x:v>#N/A</x:v>
      </x:c>
      <x:c r="I124" s="67" t="e">
        <x:f>IF(AND(OR($B$5="All domains",$B$5=C124),C124="legal"),F124,NA())</x:f>
        <x:v>#N/A</x:v>
      </x:c>
      <x:c r="J124" s="67" t="e">
        <x:f>IF(AND(OR($B$5="All domains",$B$5=C124),C124&lt;&gt;"legal",D124="Build now"),E124,NA())</x:f>
        <x:v>#N/A</x:v>
      </x:c>
      <x:c r="K124" s="67" t="e">
        <x:f>IF(AND(OR($B$5="All domains",$B$5=C124),C124&lt;&gt;"legal",D124="Build now"),F124,NA())</x:f>
        <x:v>#N/A</x:v>
      </x:c>
      <x:c r="L124" s="67" t="e">
        <x:f>IF(AND(OR($B$5="All domains",$B$5=C124),C124&lt;&gt;"legal",D124="Validate next"),E124,NA())</x:f>
        <x:v>#N/A</x:v>
      </x:c>
      <x:c r="M124" s="67" t="e">
        <x:f>IF(AND(OR($B$5="All domains",$B$5=C124),C124&lt;&gt;"legal",D124="Validate next"),F124,NA())</x:f>
        <x:v>#N/A</x:v>
      </x:c>
      <x:c r="N124" s="67" t="n">
        <x:f>IF(AND(OR($B$5="All domains",$B$5=C124),C124&lt;&gt;"legal",OR(D124="Partner or monitor",D124="Deprioritize")),E124,NA())</x:f>
        <x:v>15067.741439999998</x:v>
      </x:c>
      <x:c r="O124" s="67" t="n">
        <x:f>IF(AND(OR($B$5="All domains",$B$5=C124),C124&lt;&gt;"legal",OR(D124="Partner or monitor",D124="Deprioritize")),F124,NA())</x:f>
        <x:v>50</x:v>
      </x:c>
    </x:row>
    <x:row r="125">
      <x:c r="A125" s="21" t="str">
        <x:f>'Task Matrix'!B95</x:f>
        <x:v>health_medicine/epidemiology_forecast</x:v>
      </x:c>
      <x:c r="B125" s="21" t="str">
        <x:f>'Task Matrix'!C95</x:f>
        <x:v>Epidemiology Forecast</x:v>
      </x:c>
      <x:c r="C125" s="21" t="str">
        <x:f>'Task Matrix'!D95</x:f>
        <x:v>health_medicine</x:v>
      </x:c>
      <x:c r="D125" s="21" t="str">
        <x:f>'Task Matrix'!AK95</x:f>
        <x:v>Partner or monitor</x:v>
      </x:c>
      <x:c r="E125" s="66" t="n">
        <x:f>'Task Matrix'!AF95</x:f>
        <x:v>15067.741439999998</x:v>
      </x:c>
      <x:c r="F125" s="67" t="n">
        <x:f>'Task Matrix'!V95</x:f>
        <x:v>50</x:v>
      </x:c>
      <x:c r="G125" s="67" t="n">
        <x:f>'Task Matrix'!Y95</x:f>
        <x:v>76</x:v>
      </x:c>
      <x:c r="H125" s="67" t="e">
        <x:f>IF(AND(OR($B$5="All domains",$B$5=C125),C125="legal"),E125,NA())</x:f>
        <x:v>#N/A</x:v>
      </x:c>
      <x:c r="I125" s="67" t="e">
        <x:f>IF(AND(OR($B$5="All domains",$B$5=C125),C125="legal"),F125,NA())</x:f>
        <x:v>#N/A</x:v>
      </x:c>
      <x:c r="J125" s="67" t="e">
        <x:f>IF(AND(OR($B$5="All domains",$B$5=C125),C125&lt;&gt;"legal",D125="Build now"),E125,NA())</x:f>
        <x:v>#N/A</x:v>
      </x:c>
      <x:c r="K125" s="67" t="e">
        <x:f>IF(AND(OR($B$5="All domains",$B$5=C125),C125&lt;&gt;"legal",D125="Build now"),F125,NA())</x:f>
        <x:v>#N/A</x:v>
      </x:c>
      <x:c r="L125" s="67" t="e">
        <x:f>IF(AND(OR($B$5="All domains",$B$5=C125),C125&lt;&gt;"legal",D125="Validate next"),E125,NA())</x:f>
        <x:v>#N/A</x:v>
      </x:c>
      <x:c r="M125" s="67" t="e">
        <x:f>IF(AND(OR($B$5="All domains",$B$5=C125),C125&lt;&gt;"legal",D125="Validate next"),F125,NA())</x:f>
        <x:v>#N/A</x:v>
      </x:c>
      <x:c r="N125" s="67" t="n">
        <x:f>IF(AND(OR($B$5="All domains",$B$5=C125),C125&lt;&gt;"legal",OR(D125="Partner or monitor",D125="Deprioritize")),E125,NA())</x:f>
        <x:v>15067.741439999998</x:v>
      </x:c>
      <x:c r="O125" s="67" t="n">
        <x:f>IF(AND(OR($B$5="All domains",$B$5=C125),C125&lt;&gt;"legal",OR(D125="Partner or monitor",D125="Deprioritize")),F125,NA())</x:f>
        <x:v>50</x:v>
      </x:c>
    </x:row>
    <x:row r="126">
      <x:c r="A126" s="21" t="str">
        <x:f>'Task Matrix'!B96</x:f>
        <x:v>life_sciences/tp53_locus_variant_histone_browser_svg</x:v>
      </x:c>
      <x:c r="B126" s="21" t="str">
        <x:f>'Task Matrix'!C96</x:f>
        <x:v>K562 Genome Browser SVG Export</x:v>
      </x:c>
      <x:c r="C126" s="21" t="str">
        <x:f>'Task Matrix'!D96</x:f>
        <x:v>life_sciences</x:v>
      </x:c>
      <x:c r="D126" s="21" t="str">
        <x:f>'Task Matrix'!AK96</x:f>
        <x:v>Deprioritize</x:v>
      </x:c>
      <x:c r="E126" s="66" t="n">
        <x:f>'Task Matrix'!AF96</x:f>
        <x:v>12866.655</x:v>
      </x:c>
      <x:c r="F126" s="67" t="n">
        <x:f>'Task Matrix'!V96</x:f>
        <x:v>50</x:v>
      </x:c>
      <x:c r="G126" s="67" t="n">
        <x:f>'Task Matrix'!Y96</x:f>
        <x:v>84</x:v>
      </x:c>
      <x:c r="H126" s="67" t="e">
        <x:f>IF(AND(OR($B$5="All domains",$B$5=C126),C126="legal"),E126,NA())</x:f>
        <x:v>#N/A</x:v>
      </x:c>
      <x:c r="I126" s="67" t="e">
        <x:f>IF(AND(OR($B$5="All domains",$B$5=C126),C126="legal"),F126,NA())</x:f>
        <x:v>#N/A</x:v>
      </x:c>
      <x:c r="J126" s="67" t="e">
        <x:f>IF(AND(OR($B$5="All domains",$B$5=C126),C126&lt;&gt;"legal",D126="Build now"),E126,NA())</x:f>
        <x:v>#N/A</x:v>
      </x:c>
      <x:c r="K126" s="67" t="e">
        <x:f>IF(AND(OR($B$5="All domains",$B$5=C126),C126&lt;&gt;"legal",D126="Build now"),F126,NA())</x:f>
        <x:v>#N/A</x:v>
      </x:c>
      <x:c r="L126" s="67" t="e">
        <x:f>IF(AND(OR($B$5="All domains",$B$5=C126),C126&lt;&gt;"legal",D126="Validate next"),E126,NA())</x:f>
        <x:v>#N/A</x:v>
      </x:c>
      <x:c r="M126" s="67" t="e">
        <x:f>IF(AND(OR($B$5="All domains",$B$5=C126),C126&lt;&gt;"legal",D126="Validate next"),F126,NA())</x:f>
        <x:v>#N/A</x:v>
      </x:c>
      <x:c r="N126" s="67" t="n">
        <x:f>IF(AND(OR($B$5="All domains",$B$5=C126),C126&lt;&gt;"legal",OR(D126="Partner or monitor",D126="Deprioritize")),E126,NA())</x:f>
        <x:v>12866.655</x:v>
      </x:c>
      <x:c r="O126" s="67" t="n">
        <x:f>IF(AND(OR($B$5="All domains",$B$5=C126),C126&lt;&gt;"legal",OR(D126="Partner or monitor",D126="Deprioritize")),F126,NA())</x:f>
        <x:v>50</x:v>
      </x:c>
    </x:row>
    <x:row r="127">
      <x:c r="A127" s="21" t="str">
        <x:f>'Task Matrix'!B97</x:f>
        <x:v>physical_sciences/glm_lake_calibration</x:v>
      </x:c>
      <x:c r="B127" s="21" t="str">
        <x:f>'Task Matrix'!C97</x:f>
        <x:v>GLM Lake Calibration</x:v>
      </x:c>
      <x:c r="C127" s="21" t="str">
        <x:f>'Task Matrix'!D97</x:f>
        <x:v>physical_sciences</x:v>
      </x:c>
      <x:c r="D127" s="21" t="str">
        <x:f>'Task Matrix'!AK97</x:f>
        <x:v>Deprioritize</x:v>
      </x:c>
      <x:c r="E127" s="66" t="n">
        <x:f>'Task Matrix'!AF97</x:f>
        <x:v>12866.655</x:v>
      </x:c>
      <x:c r="F127" s="67" t="n">
        <x:f>'Task Matrix'!V97</x:f>
        <x:v>50</x:v>
      </x:c>
      <x:c r="G127" s="67" t="n">
        <x:f>'Task Matrix'!Y97</x:f>
        <x:v>76</x:v>
      </x:c>
      <x:c r="H127" s="67" t="e">
        <x:f>IF(AND(OR($B$5="All domains",$B$5=C127),C127="legal"),E127,NA())</x:f>
        <x:v>#N/A</x:v>
      </x:c>
      <x:c r="I127" s="67" t="e">
        <x:f>IF(AND(OR($B$5="All domains",$B$5=C127),C127="legal"),F127,NA())</x:f>
        <x:v>#N/A</x:v>
      </x:c>
      <x:c r="J127" s="67" t="e">
        <x:f>IF(AND(OR($B$5="All domains",$B$5=C127),C127&lt;&gt;"legal",D127="Build now"),E127,NA())</x:f>
        <x:v>#N/A</x:v>
      </x:c>
      <x:c r="K127" s="67" t="e">
        <x:f>IF(AND(OR($B$5="All domains",$B$5=C127),C127&lt;&gt;"legal",D127="Build now"),F127,NA())</x:f>
        <x:v>#N/A</x:v>
      </x:c>
      <x:c r="L127" s="67" t="e">
        <x:f>IF(AND(OR($B$5="All domains",$B$5=C127),C127&lt;&gt;"legal",D127="Validate next"),E127,NA())</x:f>
        <x:v>#N/A</x:v>
      </x:c>
      <x:c r="M127" s="67" t="e">
        <x:f>IF(AND(OR($B$5="All domains",$B$5=C127),C127&lt;&gt;"legal",D127="Validate next"),F127,NA())</x:f>
        <x:v>#N/A</x:v>
      </x:c>
      <x:c r="N127" s="67" t="n">
        <x:f>IF(AND(OR($B$5="All domains",$B$5=C127),C127&lt;&gt;"legal",OR(D127="Partner or monitor",D127="Deprioritize")),E127,NA())</x:f>
        <x:v>12866.655</x:v>
      </x:c>
      <x:c r="O127" s="67" t="n">
        <x:f>IF(AND(OR($B$5="All domains",$B$5=C127),C127&lt;&gt;"legal",OR(D127="Partner or monitor",D127="Deprioritize")),F127,NA())</x:f>
        <x:v>50</x:v>
      </x:c>
    </x:row>
    <x:row r="128">
      <x:c r="A128" s="21" t="str">
        <x:f>'Task Matrix'!B98</x:f>
        <x:v>computing_math/os_log_permission_guard_v1</x:v>
      </x:c>
      <x:c r="B128" s="21" t="str">
        <x:f>'Task Matrix'!C98</x:f>
        <x:v>OS Log Permission Guard</x:v>
      </x:c>
      <x:c r="C128" s="21" t="str">
        <x:f>'Task Matrix'!D98</x:f>
        <x:v>computing_math</x:v>
      </x:c>
      <x:c r="D128" s="21" t="str">
        <x:f>'Task Matrix'!AK98</x:f>
        <x:v>Deprioritize</x:v>
      </x:c>
      <x:c r="E128" s="66" t="n">
        <x:f>'Task Matrix'!AF98</x:f>
        <x:v>20699.4777856</x:v>
      </x:c>
      <x:c r="F128" s="67" t="n">
        <x:f>'Task Matrix'!V98</x:f>
        <x:v>64</x:v>
      </x:c>
      <x:c r="G128" s="67" t="n">
        <x:f>'Task Matrix'!Y98</x:f>
        <x:v>56</x:v>
      </x:c>
      <x:c r="H128" s="67" t="e">
        <x:f>IF(AND(OR($B$5="All domains",$B$5=C128),C128="legal"),E128,NA())</x:f>
        <x:v>#N/A</x:v>
      </x:c>
      <x:c r="I128" s="67" t="e">
        <x:f>IF(AND(OR($B$5="All domains",$B$5=C128),C128="legal"),F128,NA())</x:f>
        <x:v>#N/A</x:v>
      </x:c>
      <x:c r="J128" s="67" t="e">
        <x:f>IF(AND(OR($B$5="All domains",$B$5=C128),C128&lt;&gt;"legal",D128="Build now"),E128,NA())</x:f>
        <x:v>#N/A</x:v>
      </x:c>
      <x:c r="K128" s="67" t="e">
        <x:f>IF(AND(OR($B$5="All domains",$B$5=C128),C128&lt;&gt;"legal",D128="Build now"),F128,NA())</x:f>
        <x:v>#N/A</x:v>
      </x:c>
      <x:c r="L128" s="67" t="e">
        <x:f>IF(AND(OR($B$5="All domains",$B$5=C128),C128&lt;&gt;"legal",D128="Validate next"),E128,NA())</x:f>
        <x:v>#N/A</x:v>
      </x:c>
      <x:c r="M128" s="67" t="e">
        <x:f>IF(AND(OR($B$5="All domains",$B$5=C128),C128&lt;&gt;"legal",D128="Validate next"),F128,NA())</x:f>
        <x:v>#N/A</x:v>
      </x:c>
      <x:c r="N128" s="67" t="n">
        <x:f>IF(AND(OR($B$5="All domains",$B$5=C128),C128&lt;&gt;"legal",OR(D128="Partner or monitor",D128="Deprioritize")),E128,NA())</x:f>
        <x:v>20699.4777856</x:v>
      </x:c>
      <x:c r="O128" s="67" t="n">
        <x:f>IF(AND(OR($B$5="All domains",$B$5=C128),C128&lt;&gt;"legal",OR(D128="Partner or monitor",D128="Deprioritize")),F128,NA())</x:f>
        <x:v>64</x:v>
      </x:c>
    </x:row>
    <x:row r="129">
      <x:c r="A129" s="21" t="str">
        <x:f>'Task Matrix'!B99</x:f>
        <x:v>life_sciences/cell_tracking_instance_1</x:v>
      </x:c>
      <x:c r="B129" s="21" t="str">
        <x:f>'Task Matrix'!C99</x:f>
        <x:v>Cell Tracking Instance 1</x:v>
      </x:c>
      <x:c r="C129" s="21" t="str">
        <x:f>'Task Matrix'!D99</x:f>
        <x:v>life_sciences</x:v>
      </x:c>
      <x:c r="D129" s="21" t="str">
        <x:f>'Task Matrix'!AK99</x:f>
        <x:v>Deprioritize</x:v>
      </x:c>
      <x:c r="E129" s="66" t="n">
        <x:f>'Task Matrix'!AF99</x:f>
        <x:v>0</x:v>
      </x:c>
      <x:c r="F129" s="67" t="n">
        <x:f>'Task Matrix'!V99</x:f>
        <x:v>18</x:v>
      </x:c>
      <x:c r="G129" s="67" t="n">
        <x:f>'Task Matrix'!Y99</x:f>
        <x:v>74</x:v>
      </x:c>
      <x:c r="H129" s="67" t="e">
        <x:f>IF(AND(OR($B$5="All domains",$B$5=C129),C129="legal"),E129,NA())</x:f>
        <x:v>#N/A</x:v>
      </x:c>
      <x:c r="I129" s="67" t="e">
        <x:f>IF(AND(OR($B$5="All domains",$B$5=C129),C129="legal"),F129,NA())</x:f>
        <x:v>#N/A</x:v>
      </x:c>
      <x:c r="J129" s="67" t="e">
        <x:f>IF(AND(OR($B$5="All domains",$B$5=C129),C129&lt;&gt;"legal",D129="Build now"),E129,NA())</x:f>
        <x:v>#N/A</x:v>
      </x:c>
      <x:c r="K129" s="67" t="e">
        <x:f>IF(AND(OR($B$5="All domains",$B$5=C129),C129&lt;&gt;"legal",D129="Build now"),F129,NA())</x:f>
        <x:v>#N/A</x:v>
      </x:c>
      <x:c r="L129" s="67" t="e">
        <x:f>IF(AND(OR($B$5="All domains",$B$5=C129),C129&lt;&gt;"legal",D129="Validate next"),E129,NA())</x:f>
        <x:v>#N/A</x:v>
      </x:c>
      <x:c r="M129" s="67" t="e">
        <x:f>IF(AND(OR($B$5="All domains",$B$5=C129),C129&lt;&gt;"legal",D129="Validate next"),F129,NA())</x:f>
        <x:v>#N/A</x:v>
      </x:c>
      <x:c r="N129" s="67" t="n">
        <x:f>IF(AND(OR($B$5="All domains",$B$5=C129),C129&lt;&gt;"legal",OR(D129="Partner or monitor",D129="Deprioritize")),E129,NA())</x:f>
        <x:v>0</x:v>
      </x:c>
      <x:c r="O129" s="67" t="n">
        <x:f>IF(AND(OR($B$5="All domains",$B$5=C129),C129&lt;&gt;"legal",OR(D129="Partner or monitor",D129="Deprioritize")),F129,NA())</x:f>
        <x:v>18</x:v>
      </x:c>
    </x:row>
    <x:row r="130">
      <x:c r="A130" s="21" t="str">
        <x:f>'Task Matrix'!B100</x:f>
        <x:v>physical_sciences/exact_diag_heisenberg_j1j2</x:v>
      </x:c>
      <x:c r="B130" s="21" t="str">
        <x:f>'Task Matrix'!C100</x:f>
        <x:v>Exact Diagonalization of the J1-J2 Heisenberg Model</x:v>
      </x:c>
      <x:c r="C130" s="21" t="str">
        <x:f>'Task Matrix'!D100</x:f>
        <x:v>physical_sciences</x:v>
      </x:c>
      <x:c r="D130" s="21" t="str">
        <x:f>'Task Matrix'!AK100</x:f>
        <x:v>Deprioritize</x:v>
      </x:c>
      <x:c r="E130" s="66" t="n">
        <x:f>'Task Matrix'!AF100</x:f>
        <x:v>12866.655</x:v>
      </x:c>
      <x:c r="F130" s="67" t="n">
        <x:f>'Task Matrix'!V100</x:f>
        <x:v>50</x:v>
      </x:c>
      <x:c r="G130" s="67" t="n">
        <x:f>'Task Matrix'!Y100</x:f>
        <x:v>76</x:v>
      </x:c>
      <x:c r="H130" s="67" t="e">
        <x:f>IF(AND(OR($B$5="All domains",$B$5=C130),C130="legal"),E130,NA())</x:f>
        <x:v>#N/A</x:v>
      </x:c>
      <x:c r="I130" s="67" t="e">
        <x:f>IF(AND(OR($B$5="All domains",$B$5=C130),C130="legal"),F130,NA())</x:f>
        <x:v>#N/A</x:v>
      </x:c>
      <x:c r="J130" s="67" t="e">
        <x:f>IF(AND(OR($B$5="All domains",$B$5=C130),C130&lt;&gt;"legal",D130="Build now"),E130,NA())</x:f>
        <x:v>#N/A</x:v>
      </x:c>
      <x:c r="K130" s="67" t="e">
        <x:f>IF(AND(OR($B$5="All domains",$B$5=C130),C130&lt;&gt;"legal",D130="Build now"),F130,NA())</x:f>
        <x:v>#N/A</x:v>
      </x:c>
      <x:c r="L130" s="67" t="e">
        <x:f>IF(AND(OR($B$5="All domains",$B$5=C130),C130&lt;&gt;"legal",D130="Validate next"),E130,NA())</x:f>
        <x:v>#N/A</x:v>
      </x:c>
      <x:c r="M130" s="67" t="e">
        <x:f>IF(AND(OR($B$5="All domains",$B$5=C130),C130&lt;&gt;"legal",D130="Validate next"),F130,NA())</x:f>
        <x:v>#N/A</x:v>
      </x:c>
      <x:c r="N130" s="67" t="n">
        <x:f>IF(AND(OR($B$5="All domains",$B$5=C130),C130&lt;&gt;"legal",OR(D130="Partner or monitor",D130="Deprioritize")),E130,NA())</x:f>
        <x:v>12866.655</x:v>
      </x:c>
      <x:c r="O130" s="67" t="n">
        <x:f>IF(AND(OR($B$5="All domains",$B$5=C130),C130&lt;&gt;"legal",OR(D130="Partner or monitor",D130="Deprioritize")),F130,NA())</x:f>
        <x:v>50</x:v>
      </x:c>
    </x:row>
    <x:row r="131">
      <x:c r="A131" s="21" t="str">
        <x:f>'Task Matrix'!B101</x:f>
        <x:v>education_info/yi_manuscript_translation_1</x:v>
      </x:c>
      <x:c r="B131" s="21" t="str">
        <x:f>'Task Matrix'!C101</x:f>
        <x:v>Yi Manuscript Translation 1</x:v>
      </x:c>
      <x:c r="C131" s="21" t="str">
        <x:f>'Task Matrix'!D101</x:f>
        <x:v>education_info</x:v>
      </x:c>
      <x:c r="D131" s="21" t="str">
        <x:f>'Task Matrix'!AK101</x:f>
        <x:v>Deprioritize</x:v>
      </x:c>
      <x:c r="E131" s="66" t="n">
        <x:f>'Task Matrix'!AF101</x:f>
        <x:v>13580.488319999999</x:v>
      </x:c>
      <x:c r="F131" s="67" t="n">
        <x:f>'Task Matrix'!V101</x:f>
        <x:v>48</x:v>
      </x:c>
      <x:c r="G131" s="67" t="n">
        <x:f>'Task Matrix'!Y101</x:f>
        <x:v>72</x:v>
      </x:c>
      <x:c r="H131" s="67" t="e">
        <x:f>IF(AND(OR($B$5="All domains",$B$5=C131),C131="legal"),E131,NA())</x:f>
        <x:v>#N/A</x:v>
      </x:c>
      <x:c r="I131" s="67" t="e">
        <x:f>IF(AND(OR($B$5="All domains",$B$5=C131),C131="legal"),F131,NA())</x:f>
        <x:v>#N/A</x:v>
      </x:c>
      <x:c r="J131" s="67" t="e">
        <x:f>IF(AND(OR($B$5="All domains",$B$5=C131),C131&lt;&gt;"legal",D131="Build now"),E131,NA())</x:f>
        <x:v>#N/A</x:v>
      </x:c>
      <x:c r="K131" s="67" t="e">
        <x:f>IF(AND(OR($B$5="All domains",$B$5=C131),C131&lt;&gt;"legal",D131="Build now"),F131,NA())</x:f>
        <x:v>#N/A</x:v>
      </x:c>
      <x:c r="L131" s="67" t="e">
        <x:f>IF(AND(OR($B$5="All domains",$B$5=C131),C131&lt;&gt;"legal",D131="Validate next"),E131,NA())</x:f>
        <x:v>#N/A</x:v>
      </x:c>
      <x:c r="M131" s="67" t="e">
        <x:f>IF(AND(OR($B$5="All domains",$B$5=C131),C131&lt;&gt;"legal",D131="Validate next"),F131,NA())</x:f>
        <x:v>#N/A</x:v>
      </x:c>
      <x:c r="N131" s="67" t="n">
        <x:f>IF(AND(OR($B$5="All domains",$B$5=C131),C131&lt;&gt;"legal",OR(D131="Partner or monitor",D131="Deprioritize")),E131,NA())</x:f>
        <x:v>13580.488319999999</x:v>
      </x:c>
      <x:c r="O131" s="67" t="n">
        <x:f>IF(AND(OR($B$5="All domains",$B$5=C131),C131&lt;&gt;"legal",OR(D131="Partner or monitor",D131="Deprioritize")),F131,NA())</x:f>
        <x:v>48</x:v>
      </x:c>
    </x:row>
    <x:row r="132">
      <x:c r="A132" s="21" t="str">
        <x:f>'Task Matrix'!B102</x:f>
        <x:v>engineering/humanoid_wbc_policy_evaluation</x:v>
      </x:c>
      <x:c r="B132" s="21" t="str">
        <x:f>'Task Matrix'!C102</x:f>
        <x:v>humanoid wbc policy evaluation</x:v>
      </x:c>
      <x:c r="C132" s="21" t="str">
        <x:f>'Task Matrix'!D102</x:f>
        <x:v>engineering</x:v>
      </x:c>
      <x:c r="D132" s="21" t="str">
        <x:f>'Task Matrix'!AK102</x:f>
        <x:v>Deprioritize</x:v>
      </x:c>
      <x:c r="E132" s="66" t="n">
        <x:f>'Task Matrix'!AF102</x:f>
        <x:v>14584.45701120001</x:v>
      </x:c>
      <x:c r="F132" s="67" t="n">
        <x:f>'Task Matrix'!V102</x:f>
        <x:v>34</x:v>
      </x:c>
      <x:c r="G132" s="67" t="n">
        <x:f>'Task Matrix'!Y102</x:f>
        <x:v>72</x:v>
      </x:c>
      <x:c r="H132" s="67" t="e">
        <x:f>IF(AND(OR($B$5="All domains",$B$5=C132),C132="legal"),E132,NA())</x:f>
        <x:v>#N/A</x:v>
      </x:c>
      <x:c r="I132" s="67" t="e">
        <x:f>IF(AND(OR($B$5="All domains",$B$5=C132),C132="legal"),F132,NA())</x:f>
        <x:v>#N/A</x:v>
      </x:c>
      <x:c r="J132" s="67" t="e">
        <x:f>IF(AND(OR($B$5="All domains",$B$5=C132),C132&lt;&gt;"legal",D132="Build now"),E132,NA())</x:f>
        <x:v>#N/A</x:v>
      </x:c>
      <x:c r="K132" s="67" t="e">
        <x:f>IF(AND(OR($B$5="All domains",$B$5=C132),C132&lt;&gt;"legal",D132="Build now"),F132,NA())</x:f>
        <x:v>#N/A</x:v>
      </x:c>
      <x:c r="L132" s="67" t="e">
        <x:f>IF(AND(OR($B$5="All domains",$B$5=C132),C132&lt;&gt;"legal",D132="Validate next"),E132,NA())</x:f>
        <x:v>#N/A</x:v>
      </x:c>
      <x:c r="M132" s="67" t="e">
        <x:f>IF(AND(OR($B$5="All domains",$B$5=C132),C132&lt;&gt;"legal",D132="Validate next"),F132,NA())</x:f>
        <x:v>#N/A</x:v>
      </x:c>
      <x:c r="N132" s="67" t="n">
        <x:f>IF(AND(OR($B$5="All domains",$B$5=C132),C132&lt;&gt;"legal",OR(D132="Partner or monitor",D132="Deprioritize")),E132,NA())</x:f>
        <x:v>14584.45701120001</x:v>
      </x:c>
      <x:c r="O132" s="67" t="n">
        <x:f>IF(AND(OR($B$5="All domains",$B$5=C132),C132&lt;&gt;"legal",OR(D132="Partner or monitor",D132="Deprioritize")),F132,NA())</x:f>
        <x:v>34</x:v>
      </x:c>
    </x:row>
    <x:row r="133">
      <x:c r="A133" s="21" t="str">
        <x:f>'Task Matrix'!B103</x:f>
        <x:v>business_finance/basel_operational_risk_bia_cn</x:v>
      </x:c>
      <x:c r="B133" s="21" t="str">
        <x:f>'Task Matrix'!C103</x:f>
        <x:v>Basel Operational Risk BIA Classification</x:v>
      </x:c>
      <x:c r="C133" s="21" t="str">
        <x:f>'Task Matrix'!D103</x:f>
        <x:v>business_finance</x:v>
      </x:c>
      <x:c r="D133" s="21" t="str">
        <x:f>'Task Matrix'!AK103</x:f>
        <x:v>Deprioritize</x:v>
      </x:c>
      <x:c r="E133" s="66" t="n">
        <x:f>'Task Matrix'!AF103</x:f>
        <x:v>4769.933409279976</x:v>
      </x:c>
      <x:c r="F133" s="67" t="n">
        <x:f>'Task Matrix'!V103</x:f>
        <x:v>24</x:v>
      </x:c>
      <x:c r="G133" s="67" t="n">
        <x:f>'Task Matrix'!Y103</x:f>
        <x:v>64</x:v>
      </x:c>
      <x:c r="H133" s="67" t="e">
        <x:f>IF(AND(OR($B$5="All domains",$B$5=C133),C133="legal"),E133,NA())</x:f>
        <x:v>#N/A</x:v>
      </x:c>
      <x:c r="I133" s="67" t="e">
        <x:f>IF(AND(OR($B$5="All domains",$B$5=C133),C133="legal"),F133,NA())</x:f>
        <x:v>#N/A</x:v>
      </x:c>
      <x:c r="J133" s="67" t="e">
        <x:f>IF(AND(OR($B$5="All domains",$B$5=C133),C133&lt;&gt;"legal",D133="Build now"),E133,NA())</x:f>
        <x:v>#N/A</x:v>
      </x:c>
      <x:c r="K133" s="67" t="e">
        <x:f>IF(AND(OR($B$5="All domains",$B$5=C133),C133&lt;&gt;"legal",D133="Build now"),F133,NA())</x:f>
        <x:v>#N/A</x:v>
      </x:c>
      <x:c r="L133" s="67" t="e">
        <x:f>IF(AND(OR($B$5="All domains",$B$5=C133),C133&lt;&gt;"legal",D133="Validate next"),E133,NA())</x:f>
        <x:v>#N/A</x:v>
      </x:c>
      <x:c r="M133" s="67" t="e">
        <x:f>IF(AND(OR($B$5="All domains",$B$5=C133),C133&lt;&gt;"legal",D133="Validate next"),F133,NA())</x:f>
        <x:v>#N/A</x:v>
      </x:c>
      <x:c r="N133" s="67" t="n">
        <x:f>IF(AND(OR($B$5="All domains",$B$5=C133),C133&lt;&gt;"legal",OR(D133="Partner or monitor",D133="Deprioritize")),E133,NA())</x:f>
        <x:v>4769.933409279976</x:v>
      </x:c>
      <x:c r="O133" s="67" t="n">
        <x:f>IF(AND(OR($B$5="All domains",$B$5=C133),C133&lt;&gt;"legal",OR(D133="Partner or monitor",D133="Deprioritize")),F133,NA())</x:f>
        <x:v>24</x:v>
      </x:c>
    </x:row>
    <x:row r="134">
      <x:c r="A134" s="21" t="str">
        <x:f>'Task Matrix'!B104</x:f>
        <x:v>computing_math/mp_checkpoint_consolidation_v2</x:v>
      </x:c>
      <x:c r="B134" s="21" t="str">
        <x:f>'Task Matrix'!C104</x:f>
        <x:v>Checkpoint Consolidation V2</x:v>
      </x:c>
      <x:c r="C134" s="21" t="str">
        <x:f>'Task Matrix'!D104</x:f>
        <x:v>computing_math</x:v>
      </x:c>
      <x:c r="D134" s="21" t="str">
        <x:f>'Task Matrix'!AK104</x:f>
        <x:v>Deprioritize</x:v>
      </x:c>
      <x:c r="E134" s="66" t="n">
        <x:f>'Task Matrix'!AF104</x:f>
        <x:v>11862.969711999998</x:v>
      </x:c>
      <x:c r="F134" s="67" t="n">
        <x:f>'Task Matrix'!V104</x:f>
        <x:v>64</x:v>
      </x:c>
      <x:c r="G134" s="67" t="n">
        <x:f>'Task Matrix'!Y104</x:f>
        <x:v>56</x:v>
      </x:c>
      <x:c r="H134" s="67" t="e">
        <x:f>IF(AND(OR($B$5="All domains",$B$5=C134),C134="legal"),E134,NA())</x:f>
        <x:v>#N/A</x:v>
      </x:c>
      <x:c r="I134" s="67" t="e">
        <x:f>IF(AND(OR($B$5="All domains",$B$5=C134),C134="legal"),F134,NA())</x:f>
        <x:v>#N/A</x:v>
      </x:c>
      <x:c r="J134" s="67" t="e">
        <x:f>IF(AND(OR($B$5="All domains",$B$5=C134),C134&lt;&gt;"legal",D134="Build now"),E134,NA())</x:f>
        <x:v>#N/A</x:v>
      </x:c>
      <x:c r="K134" s="67" t="e">
        <x:f>IF(AND(OR($B$5="All domains",$B$5=C134),C134&lt;&gt;"legal",D134="Build now"),F134,NA())</x:f>
        <x:v>#N/A</x:v>
      </x:c>
      <x:c r="L134" s="67" t="e">
        <x:f>IF(AND(OR($B$5="All domains",$B$5=C134),C134&lt;&gt;"legal",D134="Validate next"),E134,NA())</x:f>
        <x:v>#N/A</x:v>
      </x:c>
      <x:c r="M134" s="67" t="e">
        <x:f>IF(AND(OR($B$5="All domains",$B$5=C134),C134&lt;&gt;"legal",D134="Validate next"),F134,NA())</x:f>
        <x:v>#N/A</x:v>
      </x:c>
      <x:c r="N134" s="67" t="n">
        <x:f>IF(AND(OR($B$5="All domains",$B$5=C134),C134&lt;&gt;"legal",OR(D134="Partner or monitor",D134="Deprioritize")),E134,NA())</x:f>
        <x:v>11862.969711999998</x:v>
      </x:c>
      <x:c r="O134" s="67" t="n">
        <x:f>IF(AND(OR($B$5="All domains",$B$5=C134),C134&lt;&gt;"legal",OR(D134="Partner or monitor",D134="Deprioritize")),F134,NA())</x:f>
        <x:v>64</x:v>
      </x:c>
    </x:row>
    <x:row r="135">
      <x:c r="A135" s="21" t="str">
        <x:f>'Task Matrix'!B105</x:f>
        <x:v>physical_sciences/adapt_vqe_molecular_energy</x:v>
      </x:c>
      <x:c r="B135" s="21" t="str">
        <x:f>'Task Matrix'!C105</x:f>
        <x:v>ADAPT-VQE Molecular Ground-State Energy</x:v>
      </x:c>
      <x:c r="C135" s="21" t="str">
        <x:f>'Task Matrix'!D105</x:f>
        <x:v>physical_sciences</x:v>
      </x:c>
      <x:c r="D135" s="21" t="str">
        <x:f>'Task Matrix'!AK105</x:f>
        <x:v>Deprioritize</x:v>
      </x:c>
      <x:c r="E135" s="66" t="n">
        <x:f>'Task Matrix'!AF105</x:f>
        <x:v>12866.655</x:v>
      </x:c>
      <x:c r="F135" s="67" t="n">
        <x:f>'Task Matrix'!V105</x:f>
        <x:v>50</x:v>
      </x:c>
      <x:c r="G135" s="67" t="n">
        <x:f>'Task Matrix'!Y105</x:f>
        <x:v>76</x:v>
      </x:c>
      <x:c r="H135" s="67" t="e">
        <x:f>IF(AND(OR($B$5="All domains",$B$5=C135),C135="legal"),E135,NA())</x:f>
        <x:v>#N/A</x:v>
      </x:c>
      <x:c r="I135" s="67" t="e">
        <x:f>IF(AND(OR($B$5="All domains",$B$5=C135),C135="legal"),F135,NA())</x:f>
        <x:v>#N/A</x:v>
      </x:c>
      <x:c r="J135" s="67" t="e">
        <x:f>IF(AND(OR($B$5="All domains",$B$5=C135),C135&lt;&gt;"legal",D135="Build now"),E135,NA())</x:f>
        <x:v>#N/A</x:v>
      </x:c>
      <x:c r="K135" s="67" t="e">
        <x:f>IF(AND(OR($B$5="All domains",$B$5=C135),C135&lt;&gt;"legal",D135="Build now"),F135,NA())</x:f>
        <x:v>#N/A</x:v>
      </x:c>
      <x:c r="L135" s="67" t="e">
        <x:f>IF(AND(OR($B$5="All domains",$B$5=C135),C135&lt;&gt;"legal",D135="Validate next"),E135,NA())</x:f>
        <x:v>#N/A</x:v>
      </x:c>
      <x:c r="M135" s="67" t="e">
        <x:f>IF(AND(OR($B$5="All domains",$B$5=C135),C135&lt;&gt;"legal",D135="Validate next"),F135,NA())</x:f>
        <x:v>#N/A</x:v>
      </x:c>
      <x:c r="N135" s="67" t="n">
        <x:f>IF(AND(OR($B$5="All domains",$B$5=C135),C135&lt;&gt;"legal",OR(D135="Partner or monitor",D135="Deprioritize")),E135,NA())</x:f>
        <x:v>12866.655</x:v>
      </x:c>
      <x:c r="O135" s="67" t="n">
        <x:f>IF(AND(OR($B$5="All domains",$B$5=C135),C135&lt;&gt;"legal",OR(D135="Partner or monitor",D135="Deprioritize")),F135,NA())</x:f>
        <x:v>50</x:v>
      </x:c>
    </x:row>
    <x:row r="136">
      <x:c r="A136" s="21" t="str">
        <x:f>'Task Matrix'!B106</x:f>
        <x:v>health_medicine/wsi_tumor_localization_1</x:v>
      </x:c>
      <x:c r="B136" s="21" t="str">
        <x:f>'Task Matrix'!C106</x:f>
        <x:v>Whole-Slide Tumor Localization</x:v>
      </x:c>
      <x:c r="C136" s="21" t="str">
        <x:f>'Task Matrix'!D106</x:f>
        <x:v>health_medicine</x:v>
      </x:c>
      <x:c r="D136" s="21" t="str">
        <x:f>'Task Matrix'!AK106</x:f>
        <x:v>Deprioritize</x:v>
      </x:c>
      <x:c r="E136" s="66" t="n">
        <x:f>'Task Matrix'!AF106</x:f>
        <x:v>15869.828428800014</x:v>
      </x:c>
      <x:c r="F136" s="67" t="n">
        <x:f>'Task Matrix'!V106</x:f>
        <x:v>34</x:v>
      </x:c>
      <x:c r="G136" s="67" t="n">
        <x:f>'Task Matrix'!Y106</x:f>
        <x:v>72</x:v>
      </x:c>
      <x:c r="H136" s="67" t="e">
        <x:f>IF(AND(OR($B$5="All domains",$B$5=C136),C136="legal"),E136,NA())</x:f>
        <x:v>#N/A</x:v>
      </x:c>
      <x:c r="I136" s="67" t="e">
        <x:f>IF(AND(OR($B$5="All domains",$B$5=C136),C136="legal"),F136,NA())</x:f>
        <x:v>#N/A</x:v>
      </x:c>
      <x:c r="J136" s="67" t="e">
        <x:f>IF(AND(OR($B$5="All domains",$B$5=C136),C136&lt;&gt;"legal",D136="Build now"),E136,NA())</x:f>
        <x:v>#N/A</x:v>
      </x:c>
      <x:c r="K136" s="67" t="e">
        <x:f>IF(AND(OR($B$5="All domains",$B$5=C136),C136&lt;&gt;"legal",D136="Build now"),F136,NA())</x:f>
        <x:v>#N/A</x:v>
      </x:c>
      <x:c r="L136" s="67" t="e">
        <x:f>IF(AND(OR($B$5="All domains",$B$5=C136),C136&lt;&gt;"legal",D136="Validate next"),E136,NA())</x:f>
        <x:v>#N/A</x:v>
      </x:c>
      <x:c r="M136" s="67" t="e">
        <x:f>IF(AND(OR($B$5="All domains",$B$5=C136),C136&lt;&gt;"legal",D136="Validate next"),F136,NA())</x:f>
        <x:v>#N/A</x:v>
      </x:c>
      <x:c r="N136" s="67" t="n">
        <x:f>IF(AND(OR($B$5="All domains",$B$5=C136),C136&lt;&gt;"legal",OR(D136="Partner or monitor",D136="Deprioritize")),E136,NA())</x:f>
        <x:v>15869.828428800014</x:v>
      </x:c>
      <x:c r="O136" s="67" t="n">
        <x:f>IF(AND(OR($B$5="All domains",$B$5=C136),C136&lt;&gt;"legal",OR(D136="Partner or monitor",D136="Deprioritize")),F136,NA())</x:f>
        <x:v>34</x:v>
      </x:c>
    </x:row>
    <x:row r="137">
      <x:c r="A137" s="21" t="str">
        <x:f>'Task Matrix'!B107</x:f>
        <x:v>life_sciences/WGS_Variant_Calling</x:v>
      </x:c>
      <x:c r="B137" s="21" t="str">
        <x:f>'Task Matrix'!C107</x:f>
        <x:v>WGS Variant Calling</x:v>
      </x:c>
      <x:c r="C137" s="21" t="str">
        <x:f>'Task Matrix'!D107</x:f>
        <x:v>life_sciences</x:v>
      </x:c>
      <x:c r="D137" s="21" t="str">
        <x:f>'Task Matrix'!AK107</x:f>
        <x:v>Deprioritize</x:v>
      </x:c>
      <x:c r="E137" s="66" t="n">
        <x:f>'Task Matrix'!AF107</x:f>
        <x:v>12866.655</x:v>
      </x:c>
      <x:c r="F137" s="67" t="n">
        <x:f>'Task Matrix'!V107</x:f>
        <x:v>50</x:v>
      </x:c>
      <x:c r="G137" s="67" t="n">
        <x:f>'Task Matrix'!Y107</x:f>
        <x:v>76</x:v>
      </x:c>
      <x:c r="H137" s="67" t="e">
        <x:f>IF(AND(OR($B$5="All domains",$B$5=C137),C137="legal"),E137,NA())</x:f>
        <x:v>#N/A</x:v>
      </x:c>
      <x:c r="I137" s="67" t="e">
        <x:f>IF(AND(OR($B$5="All domains",$B$5=C137),C137="legal"),F137,NA())</x:f>
        <x:v>#N/A</x:v>
      </x:c>
      <x:c r="J137" s="67" t="e">
        <x:f>IF(AND(OR($B$5="All domains",$B$5=C137),C137&lt;&gt;"legal",D137="Build now"),E137,NA())</x:f>
        <x:v>#N/A</x:v>
      </x:c>
      <x:c r="K137" s="67" t="e">
        <x:f>IF(AND(OR($B$5="All domains",$B$5=C137),C137&lt;&gt;"legal",D137="Build now"),F137,NA())</x:f>
        <x:v>#N/A</x:v>
      </x:c>
      <x:c r="L137" s="67" t="e">
        <x:f>IF(AND(OR($B$5="All domains",$B$5=C137),C137&lt;&gt;"legal",D137="Validate next"),E137,NA())</x:f>
        <x:v>#N/A</x:v>
      </x:c>
      <x:c r="M137" s="67" t="e">
        <x:f>IF(AND(OR($B$5="All domains",$B$5=C137),C137&lt;&gt;"legal",D137="Validate next"),F137,NA())</x:f>
        <x:v>#N/A</x:v>
      </x:c>
      <x:c r="N137" s="67" t="n">
        <x:f>IF(AND(OR($B$5="All domains",$B$5=C137),C137&lt;&gt;"legal",OR(D137="Partner or monitor",D137="Deprioritize")),E137,NA())</x:f>
        <x:v>12866.655</x:v>
      </x:c>
      <x:c r="O137" s="67" t="n">
        <x:f>IF(AND(OR($B$5="All domains",$B$5=C137),C137&lt;&gt;"legal",OR(D137="Partner or monitor",D137="Deprioritize")),F137,NA())</x:f>
        <x:v>50</x:v>
      </x:c>
    </x:row>
    <x:row r="138">
      <x:c r="A138" s="21" t="str">
        <x:f>'Task Matrix'!B108</x:f>
        <x:v>health_medicine/simglucose_safe_basal_control_instance_1</x:v>
      </x:c>
      <x:c r="B138" s="21" t="str">
        <x:f>'Task Matrix'!C108</x:f>
        <x:v>SimGlucose Safe Basal Control</x:v>
      </x:c>
      <x:c r="C138" s="21" t="str">
        <x:f>'Task Matrix'!D108</x:f>
        <x:v>health_medicine</x:v>
      </x:c>
      <x:c r="D138" s="21" t="str">
        <x:f>'Task Matrix'!AK108</x:f>
        <x:v>Deprioritize</x:v>
      </x:c>
      <x:c r="E138" s="66" t="n">
        <x:f>'Task Matrix'!AF108</x:f>
        <x:v>23786.219046400005</x:v>
      </x:c>
      <x:c r="F138" s="67" t="n">
        <x:f>'Task Matrix'!V108</x:f>
        <x:v>54</x:v>
      </x:c>
      <x:c r="G138" s="67" t="n">
        <x:f>'Task Matrix'!Y108</x:f>
        <x:v>56</x:v>
      </x:c>
      <x:c r="H138" s="67" t="e">
        <x:f>IF(AND(OR($B$5="All domains",$B$5=C138),C138="legal"),E138,NA())</x:f>
        <x:v>#N/A</x:v>
      </x:c>
      <x:c r="I138" s="67" t="e">
        <x:f>IF(AND(OR($B$5="All domains",$B$5=C138),C138="legal"),F138,NA())</x:f>
        <x:v>#N/A</x:v>
      </x:c>
      <x:c r="J138" s="67" t="e">
        <x:f>IF(AND(OR($B$5="All domains",$B$5=C138),C138&lt;&gt;"legal",D138="Build now"),E138,NA())</x:f>
        <x:v>#N/A</x:v>
      </x:c>
      <x:c r="K138" s="67" t="e">
        <x:f>IF(AND(OR($B$5="All domains",$B$5=C138),C138&lt;&gt;"legal",D138="Build now"),F138,NA())</x:f>
        <x:v>#N/A</x:v>
      </x:c>
      <x:c r="L138" s="67" t="e">
        <x:f>IF(AND(OR($B$5="All domains",$B$5=C138),C138&lt;&gt;"legal",D138="Validate next"),E138,NA())</x:f>
        <x:v>#N/A</x:v>
      </x:c>
      <x:c r="M138" s="67" t="e">
        <x:f>IF(AND(OR($B$5="All domains",$B$5=C138),C138&lt;&gt;"legal",D138="Validate next"),F138,NA())</x:f>
        <x:v>#N/A</x:v>
      </x:c>
      <x:c r="N138" s="67" t="n">
        <x:f>IF(AND(OR($B$5="All domains",$B$5=C138),C138&lt;&gt;"legal",OR(D138="Partner or monitor",D138="Deprioritize")),E138,NA())</x:f>
        <x:v>23786.219046400005</x:v>
      </x:c>
      <x:c r="O138" s="67" t="n">
        <x:f>IF(AND(OR($B$5="All domains",$B$5=C138),C138&lt;&gt;"legal",OR(D138="Partner or monitor",D138="Deprioritize")),F138,NA())</x:f>
        <x:v>54</x:v>
      </x:c>
    </x:row>
    <x:row r="139">
      <x:c r="A139" s="21" t="str">
        <x:f>'Task Matrix'!B109</x:f>
        <x:v>transport_safety/abm_hangzhou_metro</x:v>
      </x:c>
      <x:c r="B139" s="21" t="str">
        <x:f>'Task Matrix'!C109</x:f>
        <x:v>Hangzhou Metro Passenger Simulation</x:v>
      </x:c>
      <x:c r="C139" s="21" t="str">
        <x:f>'Task Matrix'!D109</x:f>
        <x:v>transport_safety</x:v>
      </x:c>
      <x:c r="D139" s="21" t="str">
        <x:f>'Task Matrix'!AK109</x:f>
        <x:v>Deprioritize</x:v>
      </x:c>
      <x:c r="E139" s="66" t="n">
        <x:f>'Task Matrix'!AF109</x:f>
        <x:v>13259.925119999998</x:v>
      </x:c>
      <x:c r="F139" s="67" t="n">
        <x:f>'Task Matrix'!V109</x:f>
        <x:v>50</x:v>
      </x:c>
      <x:c r="G139" s="67" t="n">
        <x:f>'Task Matrix'!Y109</x:f>
        <x:v>76</x:v>
      </x:c>
      <x:c r="H139" s="67" t="e">
        <x:f>IF(AND(OR($B$5="All domains",$B$5=C139),C139="legal"),E139,NA())</x:f>
        <x:v>#N/A</x:v>
      </x:c>
      <x:c r="I139" s="67" t="e">
        <x:f>IF(AND(OR($B$5="All domains",$B$5=C139),C139="legal"),F139,NA())</x:f>
        <x:v>#N/A</x:v>
      </x:c>
      <x:c r="J139" s="67" t="e">
        <x:f>IF(AND(OR($B$5="All domains",$B$5=C139),C139&lt;&gt;"legal",D139="Build now"),E139,NA())</x:f>
        <x:v>#N/A</x:v>
      </x:c>
      <x:c r="K139" s="67" t="e">
        <x:f>IF(AND(OR($B$5="All domains",$B$5=C139),C139&lt;&gt;"legal",D139="Build now"),F139,NA())</x:f>
        <x:v>#N/A</x:v>
      </x:c>
      <x:c r="L139" s="67" t="e">
        <x:f>IF(AND(OR($B$5="All domains",$B$5=C139),C139&lt;&gt;"legal",D139="Validate next"),E139,NA())</x:f>
        <x:v>#N/A</x:v>
      </x:c>
      <x:c r="M139" s="67" t="e">
        <x:f>IF(AND(OR($B$5="All domains",$B$5=C139),C139&lt;&gt;"legal",D139="Validate next"),F139,NA())</x:f>
        <x:v>#N/A</x:v>
      </x:c>
      <x:c r="N139" s="67" t="n">
        <x:f>IF(AND(OR($B$5="All domains",$B$5=C139),C139&lt;&gt;"legal",OR(D139="Partner or monitor",D139="Deprioritize")),E139,NA())</x:f>
        <x:v>13259.925119999998</x:v>
      </x:c>
      <x:c r="O139" s="67" t="n">
        <x:f>IF(AND(OR($B$5="All domains",$B$5=C139),C139&lt;&gt;"legal",OR(D139="Partner or monitor",D139="Deprioritize")),F139,NA())</x:f>
        <x:v>50</x:v>
      </x:c>
    </x:row>
    <x:row r="140">
      <x:c r="A140" s="21" t="str">
        <x:f>'Task Matrix'!B110</x:f>
        <x:v>health_medicine/ecg_superclass_ptbxl</x:v>
      </x:c>
      <x:c r="B140" s="21" t="str">
        <x:f>'Task Matrix'!C110</x:f>
        <x:v>ECG Superclass Ptbxl</x:v>
      </x:c>
      <x:c r="C140" s="21" t="str">
        <x:f>'Task Matrix'!D110</x:f>
        <x:v>health_medicine</x:v>
      </x:c>
      <x:c r="D140" s="21" t="str">
        <x:f>'Task Matrix'!AK110</x:f>
        <x:v>Deprioritize</x:v>
      </x:c>
      <x:c r="E140" s="66" t="n">
        <x:f>'Task Matrix'!AF110</x:f>
        <x:v>11692.37132160001</x:v>
      </x:c>
      <x:c r="F140" s="67" t="n">
        <x:f>'Task Matrix'!V110</x:f>
        <x:v>34</x:v>
      </x:c>
      <x:c r="G140" s="67" t="n">
        <x:f>'Task Matrix'!Y110</x:f>
        <x:v>72</x:v>
      </x:c>
      <x:c r="H140" s="67" t="e">
        <x:f>IF(AND(OR($B$5="All domains",$B$5=C140),C140="legal"),E140,NA())</x:f>
        <x:v>#N/A</x:v>
      </x:c>
      <x:c r="I140" s="67" t="e">
        <x:f>IF(AND(OR($B$5="All domains",$B$5=C140),C140="legal"),F140,NA())</x:f>
        <x:v>#N/A</x:v>
      </x:c>
      <x:c r="J140" s="67" t="e">
        <x:f>IF(AND(OR($B$5="All domains",$B$5=C140),C140&lt;&gt;"legal",D140="Build now"),E140,NA())</x:f>
        <x:v>#N/A</x:v>
      </x:c>
      <x:c r="K140" s="67" t="e">
        <x:f>IF(AND(OR($B$5="All domains",$B$5=C140),C140&lt;&gt;"legal",D140="Build now"),F140,NA())</x:f>
        <x:v>#N/A</x:v>
      </x:c>
      <x:c r="L140" s="67" t="e">
        <x:f>IF(AND(OR($B$5="All domains",$B$5=C140),C140&lt;&gt;"legal",D140="Validate next"),E140,NA())</x:f>
        <x:v>#N/A</x:v>
      </x:c>
      <x:c r="M140" s="67" t="e">
        <x:f>IF(AND(OR($B$5="All domains",$B$5=C140),C140&lt;&gt;"legal",D140="Validate next"),F140,NA())</x:f>
        <x:v>#N/A</x:v>
      </x:c>
      <x:c r="N140" s="67" t="n">
        <x:f>IF(AND(OR($B$5="All domains",$B$5=C140),C140&lt;&gt;"legal",OR(D140="Partner or monitor",D140="Deprioritize")),E140,NA())</x:f>
        <x:v>11692.37132160001</x:v>
      </x:c>
      <x:c r="O140" s="67" t="n">
        <x:f>IF(AND(OR($B$5="All domains",$B$5=C140),C140&lt;&gt;"legal",OR(D140="Partner or monitor",D140="Deprioritize")),F140,NA())</x:f>
        <x:v>34</x:v>
      </x:c>
    </x:row>
    <x:row r="141">
      <x:c r="A141" s="21" t="str">
        <x:f>'Task Matrix'!B111</x:f>
        <x:v>engineering/abb_irb6700_asset_to_urdf_instance_1</x:v>
      </x:c>
      <x:c r="B141" s="21" t="str">
        <x:f>'Task Matrix'!C111</x:f>
        <x:v>ABB IRB6700 Asset To URDF</x:v>
      </x:c>
      <x:c r="C141" s="21" t="str">
        <x:f>'Task Matrix'!D111</x:f>
        <x:v>engineering</x:v>
      </x:c>
      <x:c r="D141" s="21" t="str">
        <x:f>'Task Matrix'!AK111</x:f>
        <x:v>Deprioritize</x:v>
      </x:c>
      <x:c r="E141" s="66" t="n">
        <x:f>'Task Matrix'!AF111</x:f>
        <x:v>21941.125273600006</x:v>
      </x:c>
      <x:c r="F141" s="67" t="n">
        <x:f>'Task Matrix'!V111</x:f>
        <x:v>54</x:v>
      </x:c>
      <x:c r="G141" s="67" t="n">
        <x:f>'Task Matrix'!Y111</x:f>
        <x:v>56</x:v>
      </x:c>
      <x:c r="H141" s="67" t="e">
        <x:f>IF(AND(OR($B$5="All domains",$B$5=C141),C141="legal"),E141,NA())</x:f>
        <x:v>#N/A</x:v>
      </x:c>
      <x:c r="I141" s="67" t="e">
        <x:f>IF(AND(OR($B$5="All domains",$B$5=C141),C141="legal"),F141,NA())</x:f>
        <x:v>#N/A</x:v>
      </x:c>
      <x:c r="J141" s="67" t="e">
        <x:f>IF(AND(OR($B$5="All domains",$B$5=C141),C141&lt;&gt;"legal",D141="Build now"),E141,NA())</x:f>
        <x:v>#N/A</x:v>
      </x:c>
      <x:c r="K141" s="67" t="e">
        <x:f>IF(AND(OR($B$5="All domains",$B$5=C141),C141&lt;&gt;"legal",D141="Build now"),F141,NA())</x:f>
        <x:v>#N/A</x:v>
      </x:c>
      <x:c r="L141" s="67" t="e">
        <x:f>IF(AND(OR($B$5="All domains",$B$5=C141),C141&lt;&gt;"legal",D141="Validate next"),E141,NA())</x:f>
        <x:v>#N/A</x:v>
      </x:c>
      <x:c r="M141" s="67" t="e">
        <x:f>IF(AND(OR($B$5="All domains",$B$5=C141),C141&lt;&gt;"legal",D141="Validate next"),F141,NA())</x:f>
        <x:v>#N/A</x:v>
      </x:c>
      <x:c r="N141" s="67" t="n">
        <x:f>IF(AND(OR($B$5="All domains",$B$5=C141),C141&lt;&gt;"legal",OR(D141="Partner or monitor",D141="Deprioritize")),E141,NA())</x:f>
        <x:v>21941.125273600006</x:v>
      </x:c>
      <x:c r="O141" s="67" t="n">
        <x:f>IF(AND(OR($B$5="All domains",$B$5=C141),C141&lt;&gt;"legal",OR(D141="Partner or monitor",D141="Deprioritize")),F141,NA())</x:f>
        <x:v>54</x:v>
      </x:c>
    </x:row>
    <x:row r="142">
      <x:c r="A142" s="21" t="str">
        <x:f>'Task Matrix'!B112</x:f>
        <x:v>computing_math/data_pipeline_etl_instance_1</x:v>
      </x:c>
      <x:c r="B142" s="21" t="str">
        <x:f>'Task Matrix'!C112</x:f>
        <x:v>Retail ETL Warehouse Cleanup</x:v>
      </x:c>
      <x:c r="C142" s="21" t="str">
        <x:f>'Task Matrix'!D112</x:f>
        <x:v>computing_math</x:v>
      </x:c>
      <x:c r="D142" s="21" t="str">
        <x:f>'Task Matrix'!AK112</x:f>
        <x:v>Deprioritize</x:v>
      </x:c>
      <x:c r="E142" s="66" t="n">
        <x:f>'Task Matrix'!AF112</x:f>
        <x:v>15883.959616</x:v>
      </x:c>
      <x:c r="F142" s="67" t="n">
        <x:f>'Task Matrix'!V112</x:f>
        <x:v>64</x:v>
      </x:c>
      <x:c r="G142" s="67" t="n">
        <x:f>'Task Matrix'!Y112</x:f>
        <x:v>48</x:v>
      </x:c>
      <x:c r="H142" s="67" t="e">
        <x:f>IF(AND(OR($B$5="All domains",$B$5=C142),C142="legal"),E142,NA())</x:f>
        <x:v>#N/A</x:v>
      </x:c>
      <x:c r="I142" s="67" t="e">
        <x:f>IF(AND(OR($B$5="All domains",$B$5=C142),C142="legal"),F142,NA())</x:f>
        <x:v>#N/A</x:v>
      </x:c>
      <x:c r="J142" s="67" t="e">
        <x:f>IF(AND(OR($B$5="All domains",$B$5=C142),C142&lt;&gt;"legal",D142="Build now"),E142,NA())</x:f>
        <x:v>#N/A</x:v>
      </x:c>
      <x:c r="K142" s="67" t="e">
        <x:f>IF(AND(OR($B$5="All domains",$B$5=C142),C142&lt;&gt;"legal",D142="Build now"),F142,NA())</x:f>
        <x:v>#N/A</x:v>
      </x:c>
      <x:c r="L142" s="67" t="e">
        <x:f>IF(AND(OR($B$5="All domains",$B$5=C142),C142&lt;&gt;"legal",D142="Validate next"),E142,NA())</x:f>
        <x:v>#N/A</x:v>
      </x:c>
      <x:c r="M142" s="67" t="e">
        <x:f>IF(AND(OR($B$5="All domains",$B$5=C142),C142&lt;&gt;"legal",D142="Validate next"),F142,NA())</x:f>
        <x:v>#N/A</x:v>
      </x:c>
      <x:c r="N142" s="67" t="n">
        <x:f>IF(AND(OR($B$5="All domains",$B$5=C142),C142&lt;&gt;"legal",OR(D142="Partner or monitor",D142="Deprioritize")),E142,NA())</x:f>
        <x:v>15883.959616</x:v>
      </x:c>
      <x:c r="O142" s="67" t="n">
        <x:f>IF(AND(OR($B$5="All domains",$B$5=C142),C142&lt;&gt;"legal",OR(D142="Partner or monitor",D142="Deprioritize")),F142,NA())</x:f>
        <x:v>64</x:v>
      </x:c>
    </x:row>
    <x:row r="143">
      <x:c r="A143" s="21" t="str">
        <x:f>'Task Matrix'!B113</x:f>
        <x:v>computing_math/ising_post_measurement_1</x:v>
      </x:c>
      <x:c r="B143" s="21" t="str">
        <x:f>'Task Matrix'!C113</x:f>
        <x:v>Post-Measurement States for a Quantum Ising Chain</x:v>
      </x:c>
      <x:c r="C143" s="21" t="str">
        <x:f>'Task Matrix'!D113</x:f>
        <x:v>computing_math</x:v>
      </x:c>
      <x:c r="D143" s="21" t="str">
        <x:f>'Task Matrix'!AK113</x:f>
        <x:v>Deprioritize</x:v>
      </x:c>
      <x:c r="E143" s="66" t="n">
        <x:f>'Task Matrix'!AF113</x:f>
        <x:v>11084.2392</x:v>
      </x:c>
      <x:c r="F143" s="67" t="n">
        <x:f>'Task Matrix'!V113</x:f>
        <x:v>50</x:v>
      </x:c>
      <x:c r="G143" s="67" t="n">
        <x:f>'Task Matrix'!Y113</x:f>
        <x:v>76</x:v>
      </x:c>
      <x:c r="H143" s="67" t="e">
        <x:f>IF(AND(OR($B$5="All domains",$B$5=C143),C143="legal"),E143,NA())</x:f>
        <x:v>#N/A</x:v>
      </x:c>
      <x:c r="I143" s="67" t="e">
        <x:f>IF(AND(OR($B$5="All domains",$B$5=C143),C143="legal"),F143,NA())</x:f>
        <x:v>#N/A</x:v>
      </x:c>
      <x:c r="J143" s="67" t="e">
        <x:f>IF(AND(OR($B$5="All domains",$B$5=C143),C143&lt;&gt;"legal",D143="Build now"),E143,NA())</x:f>
        <x:v>#N/A</x:v>
      </x:c>
      <x:c r="K143" s="67" t="e">
        <x:f>IF(AND(OR($B$5="All domains",$B$5=C143),C143&lt;&gt;"legal",D143="Build now"),F143,NA())</x:f>
        <x:v>#N/A</x:v>
      </x:c>
      <x:c r="L143" s="67" t="e">
        <x:f>IF(AND(OR($B$5="All domains",$B$5=C143),C143&lt;&gt;"legal",D143="Validate next"),E143,NA())</x:f>
        <x:v>#N/A</x:v>
      </x:c>
      <x:c r="M143" s="67" t="e">
        <x:f>IF(AND(OR($B$5="All domains",$B$5=C143),C143&lt;&gt;"legal",D143="Validate next"),F143,NA())</x:f>
        <x:v>#N/A</x:v>
      </x:c>
      <x:c r="N143" s="67" t="n">
        <x:f>IF(AND(OR($B$5="All domains",$B$5=C143),C143&lt;&gt;"legal",OR(D143="Partner or monitor",D143="Deprioritize")),E143,NA())</x:f>
        <x:v>11084.2392</x:v>
      </x:c>
      <x:c r="O143" s="67" t="n">
        <x:f>IF(AND(OR($B$5="All domains",$B$5=C143),C143&lt;&gt;"legal",OR(D143="Partner or monitor",D143="Deprioritize")),F143,NA())</x:f>
        <x:v>50</x:v>
      </x:c>
    </x:row>
    <x:row r="144">
      <x:c r="A144" s="21" t="str">
        <x:f>'Task Matrix'!B114</x:f>
        <x:v>engineering/aerospace_low_thrust_trajectory</x:v>
      </x:c>
      <x:c r="B144" s="21" t="str">
        <x:f>'Task Matrix'!C114</x:f>
        <x:v>Low-Thrust LEO To GEO Trajectory</x:v>
      </x:c>
      <x:c r="C144" s="21" t="str">
        <x:f>'Task Matrix'!D114</x:f>
        <x:v>engineering</x:v>
      </x:c>
      <x:c r="D144" s="21" t="str">
        <x:f>'Task Matrix'!AK114</x:f>
        <x:v>Deprioritize</x:v>
      </x:c>
      <x:c r="E144" s="66" t="n">
        <x:f>'Task Matrix'!AF114</x:f>
        <x:v>8804.008243200004</x:v>
      </x:c>
      <x:c r="F144" s="67" t="n">
        <x:f>'Task Matrix'!V114</x:f>
        <x:v>32</x:v>
      </x:c>
      <x:c r="G144" s="67" t="n">
        <x:f>'Task Matrix'!Y114</x:f>
        <x:v>76</x:v>
      </x:c>
      <x:c r="H144" s="67" t="e">
        <x:f>IF(AND(OR($B$5="All domains",$B$5=C144),C144="legal"),E144,NA())</x:f>
        <x:v>#N/A</x:v>
      </x:c>
      <x:c r="I144" s="67" t="e">
        <x:f>IF(AND(OR($B$5="All domains",$B$5=C144),C144="legal"),F144,NA())</x:f>
        <x:v>#N/A</x:v>
      </x:c>
      <x:c r="J144" s="67" t="e">
        <x:f>IF(AND(OR($B$5="All domains",$B$5=C144),C144&lt;&gt;"legal",D144="Build now"),E144,NA())</x:f>
        <x:v>#N/A</x:v>
      </x:c>
      <x:c r="K144" s="67" t="e">
        <x:f>IF(AND(OR($B$5="All domains",$B$5=C144),C144&lt;&gt;"legal",D144="Build now"),F144,NA())</x:f>
        <x:v>#N/A</x:v>
      </x:c>
      <x:c r="L144" s="67" t="e">
        <x:f>IF(AND(OR($B$5="All domains",$B$5=C144),C144&lt;&gt;"legal",D144="Validate next"),E144,NA())</x:f>
        <x:v>#N/A</x:v>
      </x:c>
      <x:c r="M144" s="67" t="e">
        <x:f>IF(AND(OR($B$5="All domains",$B$5=C144),C144&lt;&gt;"legal",D144="Validate next"),F144,NA())</x:f>
        <x:v>#N/A</x:v>
      </x:c>
      <x:c r="N144" s="67" t="n">
        <x:f>IF(AND(OR($B$5="All domains",$B$5=C144),C144&lt;&gt;"legal",OR(D144="Partner or monitor",D144="Deprioritize")),E144,NA())</x:f>
        <x:v>8804.008243200004</x:v>
      </x:c>
      <x:c r="O144" s="67" t="n">
        <x:f>IF(AND(OR($B$5="All domains",$B$5=C144),C144&lt;&gt;"legal",OR(D144="Partner or monitor",D144="Deprioritize")),F144,NA())</x:f>
        <x:v>32</x:v>
      </x:c>
    </x:row>
    <x:row r="145">
      <x:c r="A145" s="21" t="str">
        <x:f>'Task Matrix'!B115</x:f>
        <x:v>engineering/mpc_control_building_v1</x:v>
      </x:c>
      <x:c r="B145" s="21" t="str">
        <x:f>'Task Matrix'!C115</x:f>
        <x:v>MPC Control In Building</x:v>
      </x:c>
      <x:c r="C145" s="21" t="str">
        <x:f>'Task Matrix'!D115</x:f>
        <x:v>engineering</x:v>
      </x:c>
      <x:c r="D145" s="21" t="str">
        <x:f>'Task Matrix'!AK115</x:f>
        <x:v>Deprioritize</x:v>
      </x:c>
      <x:c r="E145" s="66" t="n">
        <x:f>'Task Matrix'!AF115</x:f>
        <x:v>16491.0114048</x:v>
      </x:c>
      <x:c r="F145" s="67" t="n">
        <x:f>'Task Matrix'!V115</x:f>
        <x:v>47</x:v>
      </x:c>
      <x:c r="G145" s="67" t="n">
        <x:f>'Task Matrix'!Y115</x:f>
        <x:v>76</x:v>
      </x:c>
      <x:c r="H145" s="67" t="e">
        <x:f>IF(AND(OR($B$5="All domains",$B$5=C145),C145="legal"),E145,NA())</x:f>
        <x:v>#N/A</x:v>
      </x:c>
      <x:c r="I145" s="67" t="e">
        <x:f>IF(AND(OR($B$5="All domains",$B$5=C145),C145="legal"),F145,NA())</x:f>
        <x:v>#N/A</x:v>
      </x:c>
      <x:c r="J145" s="67" t="e">
        <x:f>IF(AND(OR($B$5="All domains",$B$5=C145),C145&lt;&gt;"legal",D145="Build now"),E145,NA())</x:f>
        <x:v>#N/A</x:v>
      </x:c>
      <x:c r="K145" s="67" t="e">
        <x:f>IF(AND(OR($B$5="All domains",$B$5=C145),C145&lt;&gt;"legal",D145="Build now"),F145,NA())</x:f>
        <x:v>#N/A</x:v>
      </x:c>
      <x:c r="L145" s="67" t="e">
        <x:f>IF(AND(OR($B$5="All domains",$B$5=C145),C145&lt;&gt;"legal",D145="Validate next"),E145,NA())</x:f>
        <x:v>#N/A</x:v>
      </x:c>
      <x:c r="M145" s="67" t="e">
        <x:f>IF(AND(OR($B$5="All domains",$B$5=C145),C145&lt;&gt;"legal",D145="Validate next"),F145,NA())</x:f>
        <x:v>#N/A</x:v>
      </x:c>
      <x:c r="N145" s="67" t="n">
        <x:f>IF(AND(OR($B$5="All domains",$B$5=C145),C145&lt;&gt;"legal",OR(D145="Partner or monitor",D145="Deprioritize")),E145,NA())</x:f>
        <x:v>16491.0114048</x:v>
      </x:c>
      <x:c r="O145" s="67" t="n">
        <x:f>IF(AND(OR($B$5="All domains",$B$5=C145),C145&lt;&gt;"legal",OR(D145="Partner or monitor",D145="Deprioritize")),F145,NA())</x:f>
        <x:v>47</x:v>
      </x:c>
    </x:row>
    <x:row r="146">
      <x:c r="A146" s="21" t="str">
        <x:f>'Task Matrix'!B116</x:f>
        <x:v>physical_sciences/silicon_bse_absorption</x:v>
      </x:c>
      <x:c r="B146" s="21" t="str">
        <x:f>'Task Matrix'!C116</x:f>
        <x:v>Silicon Bse Absorption</x:v>
      </x:c>
      <x:c r="C146" s="21" t="str">
        <x:f>'Task Matrix'!D116</x:f>
        <x:v>physical_sciences</x:v>
      </x:c>
      <x:c r="D146" s="21" t="str">
        <x:f>'Task Matrix'!AK116</x:f>
        <x:v>Deprioritize</x:v>
      </x:c>
      <x:c r="E146" s="66" t="n">
        <x:f>'Task Matrix'!AF116</x:f>
        <x:v>8596.740000000003</x:v>
      </x:c>
      <x:c r="F146" s="67" t="n">
        <x:f>'Task Matrix'!V116</x:f>
        <x:v>40</x:v>
      </x:c>
      <x:c r="G146" s="67" t="n">
        <x:f>'Task Matrix'!Y116</x:f>
        <x:v>72</x:v>
      </x:c>
      <x:c r="H146" s="67" t="e">
        <x:f>IF(AND(OR($B$5="All domains",$B$5=C146),C146="legal"),E146,NA())</x:f>
        <x:v>#N/A</x:v>
      </x:c>
      <x:c r="I146" s="67" t="e">
        <x:f>IF(AND(OR($B$5="All domains",$B$5=C146),C146="legal"),F146,NA())</x:f>
        <x:v>#N/A</x:v>
      </x:c>
      <x:c r="J146" s="67" t="e">
        <x:f>IF(AND(OR($B$5="All domains",$B$5=C146),C146&lt;&gt;"legal",D146="Build now"),E146,NA())</x:f>
        <x:v>#N/A</x:v>
      </x:c>
      <x:c r="K146" s="67" t="e">
        <x:f>IF(AND(OR($B$5="All domains",$B$5=C146),C146&lt;&gt;"legal",D146="Build now"),F146,NA())</x:f>
        <x:v>#N/A</x:v>
      </x:c>
      <x:c r="L146" s="67" t="e">
        <x:f>IF(AND(OR($B$5="All domains",$B$5=C146),C146&lt;&gt;"legal",D146="Validate next"),E146,NA())</x:f>
        <x:v>#N/A</x:v>
      </x:c>
      <x:c r="M146" s="67" t="e">
        <x:f>IF(AND(OR($B$5="All domains",$B$5=C146),C146&lt;&gt;"legal",D146="Validate next"),F146,NA())</x:f>
        <x:v>#N/A</x:v>
      </x:c>
      <x:c r="N146" s="67" t="n">
        <x:f>IF(AND(OR($B$5="All domains",$B$5=C146),C146&lt;&gt;"legal",OR(D146="Partner or monitor",D146="Deprioritize")),E146,NA())</x:f>
        <x:v>8596.740000000003</x:v>
      </x:c>
      <x:c r="O146" s="67" t="n">
        <x:f>IF(AND(OR($B$5="All domains",$B$5=C146),C146&lt;&gt;"legal",OR(D146="Partner or monitor",D146="Deprioritize")),F146,NA())</x:f>
        <x:v>40</x:v>
      </x:c>
    </x:row>
    <x:row r="147">
      <x:c r="A147" s="21" t="str">
        <x:f>'Task Matrix'!B117</x:f>
        <x:v>physical_sciences/mose2_bse_absorption_soc</x:v>
      </x:c>
      <x:c r="B147" s="21" t="str">
        <x:f>'Task Matrix'!C117</x:f>
        <x:v>Mose2 Bse Absorption Soc</x:v>
      </x:c>
      <x:c r="C147" s="21" t="str">
        <x:f>'Task Matrix'!D117</x:f>
        <x:v>physical_sciences</x:v>
      </x:c>
      <x:c r="D147" s="21" t="str">
        <x:f>'Task Matrix'!AK117</x:f>
        <x:v>Deprioritize</x:v>
      </x:c>
      <x:c r="E147" s="66" t="n">
        <x:f>'Task Matrix'!AF117</x:f>
        <x:v>8596.740000000003</x:v>
      </x:c>
      <x:c r="F147" s="67" t="n">
        <x:f>'Task Matrix'!V117</x:f>
        <x:v>40</x:v>
      </x:c>
      <x:c r="G147" s="67" t="n">
        <x:f>'Task Matrix'!Y117</x:f>
        <x:v>72</x:v>
      </x:c>
      <x:c r="H147" s="67" t="e">
        <x:f>IF(AND(OR($B$5="All domains",$B$5=C147),C147="legal"),E147,NA())</x:f>
        <x:v>#N/A</x:v>
      </x:c>
      <x:c r="I147" s="67" t="e">
        <x:f>IF(AND(OR($B$5="All domains",$B$5=C147),C147="legal"),F147,NA())</x:f>
        <x:v>#N/A</x:v>
      </x:c>
      <x:c r="J147" s="67" t="e">
        <x:f>IF(AND(OR($B$5="All domains",$B$5=C147),C147&lt;&gt;"legal",D147="Build now"),E147,NA())</x:f>
        <x:v>#N/A</x:v>
      </x:c>
      <x:c r="K147" s="67" t="e">
        <x:f>IF(AND(OR($B$5="All domains",$B$5=C147),C147&lt;&gt;"legal",D147="Build now"),F147,NA())</x:f>
        <x:v>#N/A</x:v>
      </x:c>
      <x:c r="L147" s="67" t="e">
        <x:f>IF(AND(OR($B$5="All domains",$B$5=C147),C147&lt;&gt;"legal",D147="Validate next"),E147,NA())</x:f>
        <x:v>#N/A</x:v>
      </x:c>
      <x:c r="M147" s="67" t="e">
        <x:f>IF(AND(OR($B$5="All domains",$B$5=C147),C147&lt;&gt;"legal",D147="Validate next"),F147,NA())</x:f>
        <x:v>#N/A</x:v>
      </x:c>
      <x:c r="N147" s="67" t="n">
        <x:f>IF(AND(OR($B$5="All domains",$B$5=C147),C147&lt;&gt;"legal",OR(D147="Partner or monitor",D147="Deprioritize")),E147,NA())</x:f>
        <x:v>8596.740000000003</x:v>
      </x:c>
      <x:c r="O147" s="67" t="n">
        <x:f>IF(AND(OR($B$5="All domains",$B$5=C147),C147&lt;&gt;"legal",OR(D147="Partner or monitor",D147="Deprioritize")),F147,NA())</x:f>
        <x:v>40</x:v>
      </x:c>
    </x:row>
    <x:row r="148">
      <x:c r="A148" s="21" t="str">
        <x:f>'Task Matrix'!B118</x:f>
        <x:v>health_medicine/replicate_paper_1</x:v>
      </x:c>
      <x:c r="B148" s="21" t="str">
        <x:f>'Task Matrix'!C118</x:f>
        <x:v>Continuous Treatment Shift Simulation Replication</x:v>
      </x:c>
      <x:c r="C148" s="21" t="str">
        <x:f>'Task Matrix'!D118</x:f>
        <x:v>health_medicine</x:v>
      </x:c>
      <x:c r="D148" s="21" t="str">
        <x:f>'Task Matrix'!AK118</x:f>
        <x:v>Deprioritize</x:v>
      </x:c>
      <x:c r="E148" s="66" t="n">
        <x:f>'Task Matrix'!AF118</x:f>
        <x:v>12444.305664000009</x:v>
      </x:c>
      <x:c r="F148" s="67" t="n">
        <x:f>'Task Matrix'!V118</x:f>
        <x:v>40</x:v>
      </x:c>
      <x:c r="G148" s="67" t="n">
        <x:f>'Task Matrix'!Y118</x:f>
        <x:v>76</x:v>
      </x:c>
      <x:c r="H148" s="67" t="e">
        <x:f>IF(AND(OR($B$5="All domains",$B$5=C148),C148="legal"),E148,NA())</x:f>
        <x:v>#N/A</x:v>
      </x:c>
      <x:c r="I148" s="67" t="e">
        <x:f>IF(AND(OR($B$5="All domains",$B$5=C148),C148="legal"),F148,NA())</x:f>
        <x:v>#N/A</x:v>
      </x:c>
      <x:c r="J148" s="67" t="e">
        <x:f>IF(AND(OR($B$5="All domains",$B$5=C148),C148&lt;&gt;"legal",D148="Build now"),E148,NA())</x:f>
        <x:v>#N/A</x:v>
      </x:c>
      <x:c r="K148" s="67" t="e">
        <x:f>IF(AND(OR($B$5="All domains",$B$5=C148),C148&lt;&gt;"legal",D148="Build now"),F148,NA())</x:f>
        <x:v>#N/A</x:v>
      </x:c>
      <x:c r="L148" s="67" t="e">
        <x:f>IF(AND(OR($B$5="All domains",$B$5=C148),C148&lt;&gt;"legal",D148="Validate next"),E148,NA())</x:f>
        <x:v>#N/A</x:v>
      </x:c>
      <x:c r="M148" s="67" t="e">
        <x:f>IF(AND(OR($B$5="All domains",$B$5=C148),C148&lt;&gt;"legal",D148="Validate next"),F148,NA())</x:f>
        <x:v>#N/A</x:v>
      </x:c>
      <x:c r="N148" s="67" t="n">
        <x:f>IF(AND(OR($B$5="All domains",$B$5=C148),C148&lt;&gt;"legal",OR(D148="Partner or monitor",D148="Deprioritize")),E148,NA())</x:f>
        <x:v>12444.305664000009</x:v>
      </x:c>
      <x:c r="O148" s="67" t="n">
        <x:f>IF(AND(OR($B$5="All domains",$B$5=C148),C148&lt;&gt;"legal",OR(D148="Partner or monitor",D148="Deprioritize")),F148,NA())</x:f>
        <x:v>40</x:v>
      </x:c>
    </x:row>
    <x:row r="149">
      <x:c r="A149" s="21" t="str">
        <x:f>'Task Matrix'!B119</x:f>
        <x:v>physical_sciences/molecular_structure_plausibility</x:v>
      </x:c>
      <x:c r="B149" s="21" t="str">
        <x:f>'Task Matrix'!C119</x:f>
        <x:v>Molecular Structure Plausibility</x:v>
      </x:c>
      <x:c r="C149" s="21" t="str">
        <x:f>'Task Matrix'!D119</x:f>
        <x:v>physical_sciences</x:v>
      </x:c>
      <x:c r="D149" s="21" t="str">
        <x:f>'Task Matrix'!AK119</x:f>
        <x:v>Deprioritize</x:v>
      </x:c>
      <x:c r="E149" s="66" t="n">
        <x:f>'Task Matrix'!AF119</x:f>
        <x:v>8596.740000000003</x:v>
      </x:c>
      <x:c r="F149" s="67" t="n">
        <x:f>'Task Matrix'!V119</x:f>
        <x:v>40</x:v>
      </x:c>
      <x:c r="G149" s="67" t="n">
        <x:f>'Task Matrix'!Y119</x:f>
        <x:v>72</x:v>
      </x:c>
      <x:c r="H149" s="67" t="e">
        <x:f>IF(AND(OR($B$5="All domains",$B$5=C149),C149="legal"),E149,NA())</x:f>
        <x:v>#N/A</x:v>
      </x:c>
      <x:c r="I149" s="67" t="e">
        <x:f>IF(AND(OR($B$5="All domains",$B$5=C149),C149="legal"),F149,NA())</x:f>
        <x:v>#N/A</x:v>
      </x:c>
      <x:c r="J149" s="67" t="e">
        <x:f>IF(AND(OR($B$5="All domains",$B$5=C149),C149&lt;&gt;"legal",D149="Build now"),E149,NA())</x:f>
        <x:v>#N/A</x:v>
      </x:c>
      <x:c r="K149" s="67" t="e">
        <x:f>IF(AND(OR($B$5="All domains",$B$5=C149),C149&lt;&gt;"legal",D149="Build now"),F149,NA())</x:f>
        <x:v>#N/A</x:v>
      </x:c>
      <x:c r="L149" s="67" t="e">
        <x:f>IF(AND(OR($B$5="All domains",$B$5=C149),C149&lt;&gt;"legal",D149="Validate next"),E149,NA())</x:f>
        <x:v>#N/A</x:v>
      </x:c>
      <x:c r="M149" s="67" t="e">
        <x:f>IF(AND(OR($B$5="All domains",$B$5=C149),C149&lt;&gt;"legal",D149="Validate next"),F149,NA())</x:f>
        <x:v>#N/A</x:v>
      </x:c>
      <x:c r="N149" s="67" t="n">
        <x:f>IF(AND(OR($B$5="All domains",$B$5=C149),C149&lt;&gt;"legal",OR(D149="Partner or monitor",D149="Deprioritize")),E149,NA())</x:f>
        <x:v>8596.740000000003</x:v>
      </x:c>
      <x:c r="O149" s="67" t="n">
        <x:f>IF(AND(OR($B$5="All domains",$B$5=C149),C149&lt;&gt;"legal",OR(D149="Partner or monitor",D149="Deprioritize")),F149,NA())</x:f>
        <x:v>40</x:v>
      </x:c>
    </x:row>
    <x:row r="150">
      <x:c r="A150" s="21" t="str">
        <x:f>'Task Matrix'!B120</x:f>
        <x:v>health_medicine/causal_ihdp_ite_estimation_6a_v1</x:v>
      </x:c>
      <x:c r="B150" s="21" t="str">
        <x:f>'Task Matrix'!C120</x:f>
        <x:v>IHDP ITE Estimation</x:v>
      </x:c>
      <x:c r="C150" s="21" t="str">
        <x:f>'Task Matrix'!D120</x:f>
        <x:v>health_medicine</x:v>
      </x:c>
      <x:c r="D150" s="21" t="str">
        <x:f>'Task Matrix'!AK120</x:f>
        <x:v>Deprioritize</x:v>
      </x:c>
      <x:c r="E150" s="66" t="n">
        <x:f>'Task Matrix'!AF120</x:f>
        <x:v>12444.305664000009</x:v>
      </x:c>
      <x:c r="F150" s="67" t="n">
        <x:f>'Task Matrix'!V120</x:f>
        <x:v>40</x:v>
      </x:c>
      <x:c r="G150" s="67" t="n">
        <x:f>'Task Matrix'!Y120</x:f>
        <x:v>76</x:v>
      </x:c>
      <x:c r="H150" s="67" t="e">
        <x:f>IF(AND(OR($B$5="All domains",$B$5=C150),C150="legal"),E150,NA())</x:f>
        <x:v>#N/A</x:v>
      </x:c>
      <x:c r="I150" s="67" t="e">
        <x:f>IF(AND(OR($B$5="All domains",$B$5=C150),C150="legal"),F150,NA())</x:f>
        <x:v>#N/A</x:v>
      </x:c>
      <x:c r="J150" s="67" t="e">
        <x:f>IF(AND(OR($B$5="All domains",$B$5=C150),C150&lt;&gt;"legal",D150="Build now"),E150,NA())</x:f>
        <x:v>#N/A</x:v>
      </x:c>
      <x:c r="K150" s="67" t="e">
        <x:f>IF(AND(OR($B$5="All domains",$B$5=C150),C150&lt;&gt;"legal",D150="Build now"),F150,NA())</x:f>
        <x:v>#N/A</x:v>
      </x:c>
      <x:c r="L150" s="67" t="e">
        <x:f>IF(AND(OR($B$5="All domains",$B$5=C150),C150&lt;&gt;"legal",D150="Validate next"),E150,NA())</x:f>
        <x:v>#N/A</x:v>
      </x:c>
      <x:c r="M150" s="67" t="e">
        <x:f>IF(AND(OR($B$5="All domains",$B$5=C150),C150&lt;&gt;"legal",D150="Validate next"),F150,NA())</x:f>
        <x:v>#N/A</x:v>
      </x:c>
      <x:c r="N150" s="67" t="n">
        <x:f>IF(AND(OR($B$5="All domains",$B$5=C150),C150&lt;&gt;"legal",OR(D150="Partner or monitor",D150="Deprioritize")),E150,NA())</x:f>
        <x:v>12444.305664000009</x:v>
      </x:c>
      <x:c r="O150" s="67" t="n">
        <x:f>IF(AND(OR($B$5="All domains",$B$5=C150),C150&lt;&gt;"legal",OR(D150="Partner or monitor",D150="Deprioritize")),F150,NA())</x:f>
        <x:v>40</x:v>
      </x:c>
    </x:row>
    <x:row r="151">
      <x:c r="A151" s="21" t="str">
        <x:f>'Task Matrix'!B121</x:f>
        <x:v>life_sciences/zdock_hiv_dimer_interface_scoring_v1</x:v>
      </x:c>
      <x:c r="B151" s="21" t="str">
        <x:f>'Task Matrix'!C121</x:f>
        <x:v>ZDOCK HIV Dimer Interface Scoring</x:v>
      </x:c>
      <x:c r="C151" s="21" t="str">
        <x:f>'Task Matrix'!D121</x:f>
        <x:v>life_sciences</x:v>
      </x:c>
      <x:c r="D151" s="21" t="str">
        <x:f>'Task Matrix'!AK121</x:f>
        <x:v>Deprioritize</x:v>
      </x:c>
      <x:c r="E151" s="66" t="n">
        <x:f>'Task Matrix'!AF121</x:f>
        <x:v>9499.991250000003</x:v>
      </x:c>
      <x:c r="F151" s="67" t="n">
        <x:f>'Task Matrix'!V121</x:f>
        <x:v>50</x:v>
      </x:c>
      <x:c r="G151" s="67" t="n">
        <x:f>'Task Matrix'!Y121</x:f>
        <x:v>76</x:v>
      </x:c>
      <x:c r="H151" s="67" t="e">
        <x:f>IF(AND(OR($B$5="All domains",$B$5=C151),C151="legal"),E151,NA())</x:f>
        <x:v>#N/A</x:v>
      </x:c>
      <x:c r="I151" s="67" t="e">
        <x:f>IF(AND(OR($B$5="All domains",$B$5=C151),C151="legal"),F151,NA())</x:f>
        <x:v>#N/A</x:v>
      </x:c>
      <x:c r="J151" s="67" t="e">
        <x:f>IF(AND(OR($B$5="All domains",$B$5=C151),C151&lt;&gt;"legal",D151="Build now"),E151,NA())</x:f>
        <x:v>#N/A</x:v>
      </x:c>
      <x:c r="K151" s="67" t="e">
        <x:f>IF(AND(OR($B$5="All domains",$B$5=C151),C151&lt;&gt;"legal",D151="Build now"),F151,NA())</x:f>
        <x:v>#N/A</x:v>
      </x:c>
      <x:c r="L151" s="67" t="e">
        <x:f>IF(AND(OR($B$5="All domains",$B$5=C151),C151&lt;&gt;"legal",D151="Validate next"),E151,NA())</x:f>
        <x:v>#N/A</x:v>
      </x:c>
      <x:c r="M151" s="67" t="e">
        <x:f>IF(AND(OR($B$5="All domains",$B$5=C151),C151&lt;&gt;"legal",D151="Validate next"),F151,NA())</x:f>
        <x:v>#N/A</x:v>
      </x:c>
      <x:c r="N151" s="67" t="n">
        <x:f>IF(AND(OR($B$5="All domains",$B$5=C151),C151&lt;&gt;"legal",OR(D151="Partner or monitor",D151="Deprioritize")),E151,NA())</x:f>
        <x:v>9499.991250000003</x:v>
      </x:c>
      <x:c r="O151" s="67" t="n">
        <x:f>IF(AND(OR($B$5="All domains",$B$5=C151),C151&lt;&gt;"legal",OR(D151="Partner or monitor",D151="Deprioritize")),F151,NA())</x:f>
        <x:v>50</x:v>
      </x:c>
    </x:row>
    <x:row r="152">
      <x:c r="A152" s="21" t="str">
        <x:f>'Task Matrix'!B122</x:f>
        <x:v>physical_sciences/computational_materials_science</x:v>
      </x:c>
      <x:c r="B152" s="21" t="str">
        <x:f>'Task Matrix'!C122</x:f>
        <x:v>Silicon GW Band Gap</x:v>
      </x:c>
      <x:c r="C152" s="21" t="str">
        <x:f>'Task Matrix'!D122</x:f>
        <x:v>physical_sciences</x:v>
      </x:c>
      <x:c r="D152" s="21" t="str">
        <x:f>'Task Matrix'!AK122</x:f>
        <x:v>Deprioritize</x:v>
      </x:c>
      <x:c r="E152" s="66" t="n">
        <x:f>'Task Matrix'!AF122</x:f>
        <x:v>8596.740000000003</x:v>
      </x:c>
      <x:c r="F152" s="67" t="n">
        <x:f>'Task Matrix'!V122</x:f>
        <x:v>40</x:v>
      </x:c>
      <x:c r="G152" s="67" t="n">
        <x:f>'Task Matrix'!Y122</x:f>
        <x:v>72</x:v>
      </x:c>
      <x:c r="H152" s="67" t="e">
        <x:f>IF(AND(OR($B$5="All domains",$B$5=C152),C152="legal"),E152,NA())</x:f>
        <x:v>#N/A</x:v>
      </x:c>
      <x:c r="I152" s="67" t="e">
        <x:f>IF(AND(OR($B$5="All domains",$B$5=C152),C152="legal"),F152,NA())</x:f>
        <x:v>#N/A</x:v>
      </x:c>
      <x:c r="J152" s="67" t="e">
        <x:f>IF(AND(OR($B$5="All domains",$B$5=C152),C152&lt;&gt;"legal",D152="Build now"),E152,NA())</x:f>
        <x:v>#N/A</x:v>
      </x:c>
      <x:c r="K152" s="67" t="e">
        <x:f>IF(AND(OR($B$5="All domains",$B$5=C152),C152&lt;&gt;"legal",D152="Build now"),F152,NA())</x:f>
        <x:v>#N/A</x:v>
      </x:c>
      <x:c r="L152" s="67" t="e">
        <x:f>IF(AND(OR($B$5="All domains",$B$5=C152),C152&lt;&gt;"legal",D152="Validate next"),E152,NA())</x:f>
        <x:v>#N/A</x:v>
      </x:c>
      <x:c r="M152" s="67" t="e">
        <x:f>IF(AND(OR($B$5="All domains",$B$5=C152),C152&lt;&gt;"legal",D152="Validate next"),F152,NA())</x:f>
        <x:v>#N/A</x:v>
      </x:c>
      <x:c r="N152" s="67" t="n">
        <x:f>IF(AND(OR($B$5="All domains",$B$5=C152),C152&lt;&gt;"legal",OR(D152="Partner or monitor",D152="Deprioritize")),E152,NA())</x:f>
        <x:v>8596.740000000003</x:v>
      </x:c>
      <x:c r="O152" s="67" t="n">
        <x:f>IF(AND(OR($B$5="All domains",$B$5=C152),C152&lt;&gt;"legal",OR(D152="Partner or monitor",D152="Deprioritize")),F152,NA())</x:f>
        <x:v>40</x:v>
      </x:c>
    </x:row>
    <x:row r="153">
      <x:c r="A153" s="21" t="str">
        <x:f>'Task Matrix'!B123</x:f>
        <x:v>psychology_neuro/reddit_ai_post_codebook_boolean_coding</x:v>
      </x:c>
      <x:c r="B153" s="21" t="str">
        <x:f>'Task Matrix'!C123</x:f>
        <x:v>Reddit AI Post Codebook Boolean Coding</x:v>
      </x:c>
      <x:c r="C153" s="21" t="str">
        <x:f>'Task Matrix'!D123</x:f>
        <x:v>psychology_neuro</x:v>
      </x:c>
      <x:c r="D153" s="21" t="str">
        <x:f>'Task Matrix'!AK123</x:f>
        <x:v>Deprioritize</x:v>
      </x:c>
      <x:c r="E153" s="66" t="n">
        <x:f>'Task Matrix'!AF123</x:f>
        <x:v>0</x:v>
      </x:c>
      <x:c r="F153" s="67" t="n">
        <x:f>'Task Matrix'!V123</x:f>
        <x:v>10</x:v>
      </x:c>
      <x:c r="G153" s="67" t="n">
        <x:f>'Task Matrix'!Y123</x:f>
        <x:v>52</x:v>
      </x:c>
      <x:c r="H153" s="67" t="e">
        <x:f>IF(AND(OR($B$5="All domains",$B$5=C153),C153="legal"),E153,NA())</x:f>
        <x:v>#N/A</x:v>
      </x:c>
      <x:c r="I153" s="67" t="e">
        <x:f>IF(AND(OR($B$5="All domains",$B$5=C153),C153="legal"),F153,NA())</x:f>
        <x:v>#N/A</x:v>
      </x:c>
      <x:c r="J153" s="67" t="e">
        <x:f>IF(AND(OR($B$5="All domains",$B$5=C153),C153&lt;&gt;"legal",D153="Build now"),E153,NA())</x:f>
        <x:v>#N/A</x:v>
      </x:c>
      <x:c r="K153" s="67" t="e">
        <x:f>IF(AND(OR($B$5="All domains",$B$5=C153),C153&lt;&gt;"legal",D153="Build now"),F153,NA())</x:f>
        <x:v>#N/A</x:v>
      </x:c>
      <x:c r="L153" s="67" t="e">
        <x:f>IF(AND(OR($B$5="All domains",$B$5=C153),C153&lt;&gt;"legal",D153="Validate next"),E153,NA())</x:f>
        <x:v>#N/A</x:v>
      </x:c>
      <x:c r="M153" s="67" t="e">
        <x:f>IF(AND(OR($B$5="All domains",$B$5=C153),C153&lt;&gt;"legal",D153="Validate next"),F153,NA())</x:f>
        <x:v>#N/A</x:v>
      </x:c>
      <x:c r="N153" s="67" t="n">
        <x:f>IF(AND(OR($B$5="All domains",$B$5=C153),C153&lt;&gt;"legal",OR(D153="Partner or monitor",D153="Deprioritize")),E153,NA())</x:f>
        <x:v>0</x:v>
      </x:c>
      <x:c r="O153" s="67" t="n">
        <x:f>IF(AND(OR($B$5="All domains",$B$5=C153),C153&lt;&gt;"legal",OR(D153="Partner or monitor",D153="Deprioritize")),F153,NA())</x:f>
        <x:v>10</x:v>
      </x:c>
    </x:row>
    <x:row r="154">
      <x:c r="A154" s="21" t="str">
        <x:f>'Task Matrix'!B124</x:f>
        <x:v>computing_math/newyear_keygen2</x:v>
      </x:c>
      <x:c r="B154" s="21" t="str">
        <x:f>'Task Matrix'!C124</x:f>
        <x:v>Newyear Keygen2</x:v>
      </x:c>
      <x:c r="C154" s="21" t="str">
        <x:f>'Task Matrix'!D124</x:f>
        <x:v>computing_math</x:v>
      </x:c>
      <x:c r="D154" s="21" t="str">
        <x:f>'Task Matrix'!AK124</x:f>
        <x:v>Deprioritize</x:v>
      </x:c>
      <x:c r="E154" s="66" t="n">
        <x:f>'Task Matrix'!AF124</x:f>
        <x:v>12741.302176</x:v>
      </x:c>
      <x:c r="F154" s="67" t="n">
        <x:f>'Task Matrix'!V124</x:f>
        <x:v>54</x:v>
      </x:c>
      <x:c r="G154" s="67" t="n">
        <x:f>'Task Matrix'!Y124</x:f>
        <x:v>52</x:v>
      </x:c>
      <x:c r="H154" s="67" t="e">
        <x:f>IF(AND(OR($B$5="All domains",$B$5=C154),C154="legal"),E154,NA())</x:f>
        <x:v>#N/A</x:v>
      </x:c>
      <x:c r="I154" s="67" t="e">
        <x:f>IF(AND(OR($B$5="All domains",$B$5=C154),C154="legal"),F154,NA())</x:f>
        <x:v>#N/A</x:v>
      </x:c>
      <x:c r="J154" s="67" t="e">
        <x:f>IF(AND(OR($B$5="All domains",$B$5=C154),C154&lt;&gt;"legal",D154="Build now"),E154,NA())</x:f>
        <x:v>#N/A</x:v>
      </x:c>
      <x:c r="K154" s="67" t="e">
        <x:f>IF(AND(OR($B$5="All domains",$B$5=C154),C154&lt;&gt;"legal",D154="Build now"),F154,NA())</x:f>
        <x:v>#N/A</x:v>
      </x:c>
      <x:c r="L154" s="67" t="e">
        <x:f>IF(AND(OR($B$5="All domains",$B$5=C154),C154&lt;&gt;"legal",D154="Validate next"),E154,NA())</x:f>
        <x:v>#N/A</x:v>
      </x:c>
      <x:c r="M154" s="67" t="e">
        <x:f>IF(AND(OR($B$5="All domains",$B$5=C154),C154&lt;&gt;"legal",D154="Validate next"),F154,NA())</x:f>
        <x:v>#N/A</x:v>
      </x:c>
      <x:c r="N154" s="67" t="n">
        <x:f>IF(AND(OR($B$5="All domains",$B$5=C154),C154&lt;&gt;"legal",OR(D154="Partner or monitor",D154="Deprioritize")),E154,NA())</x:f>
        <x:v>12741.302176</x:v>
      </x:c>
      <x:c r="O154" s="67" t="n">
        <x:f>IF(AND(OR($B$5="All domains",$B$5=C154),C154&lt;&gt;"legal",OR(D154="Partner or monitor",D154="Deprioritize")),F154,NA())</x:f>
        <x:v>54</x:v>
      </x:c>
    </x:row>
    <x:row r="155">
      <x:c r="A155" s="21" t="str">
        <x:f>'Task Matrix'!B125</x:f>
        <x:v>engineering/chisel_verilog_alignment_seq_1</x:v>
      </x:c>
      <x:c r="B155" s="21" t="str">
        <x:f>'Task Matrix'!C125</x:f>
        <x:v>Chisel-to-Verilog Source Location Alignment</x:v>
      </x:c>
      <x:c r="C155" s="21" t="str">
        <x:f>'Task Matrix'!D125</x:f>
        <x:v>engineering</x:v>
      </x:c>
      <x:c r="D155" s="21" t="str">
        <x:f>'Task Matrix'!AK125</x:f>
        <x:v>Deprioritize</x:v>
      </x:c>
      <x:c r="E155" s="66" t="n">
        <x:f>'Task Matrix'!AF125</x:f>
        <x:v>10246.897920000003</x:v>
      </x:c>
      <x:c r="F155" s="67" t="n">
        <x:f>'Task Matrix'!V125</x:f>
        <x:v>50</x:v>
      </x:c>
      <x:c r="G155" s="67" t="n">
        <x:f>'Task Matrix'!Y125</x:f>
        <x:v>76</x:v>
      </x:c>
      <x:c r="H155" s="67" t="e">
        <x:f>IF(AND(OR($B$5="All domains",$B$5=C155),C155="legal"),E155,NA())</x:f>
        <x:v>#N/A</x:v>
      </x:c>
      <x:c r="I155" s="67" t="e">
        <x:f>IF(AND(OR($B$5="All domains",$B$5=C155),C155="legal"),F155,NA())</x:f>
        <x:v>#N/A</x:v>
      </x:c>
      <x:c r="J155" s="67" t="e">
        <x:f>IF(AND(OR($B$5="All domains",$B$5=C155),C155&lt;&gt;"legal",D155="Build now"),E155,NA())</x:f>
        <x:v>#N/A</x:v>
      </x:c>
      <x:c r="K155" s="67" t="e">
        <x:f>IF(AND(OR($B$5="All domains",$B$5=C155),C155&lt;&gt;"legal",D155="Build now"),F155,NA())</x:f>
        <x:v>#N/A</x:v>
      </x:c>
      <x:c r="L155" s="67" t="e">
        <x:f>IF(AND(OR($B$5="All domains",$B$5=C155),C155&lt;&gt;"legal",D155="Validate next"),E155,NA())</x:f>
        <x:v>#N/A</x:v>
      </x:c>
      <x:c r="M155" s="67" t="e">
        <x:f>IF(AND(OR($B$5="All domains",$B$5=C155),C155&lt;&gt;"legal",D155="Validate next"),F155,NA())</x:f>
        <x:v>#N/A</x:v>
      </x:c>
      <x:c r="N155" s="67" t="n">
        <x:f>IF(AND(OR($B$5="All domains",$B$5=C155),C155&lt;&gt;"legal",OR(D155="Partner or monitor",D155="Deprioritize")),E155,NA())</x:f>
        <x:v>10246.897920000003</x:v>
      </x:c>
      <x:c r="O155" s="67" t="n">
        <x:f>IF(AND(OR($B$5="All domains",$B$5=C155),C155&lt;&gt;"legal",OR(D155="Partner or monitor",D155="Deprioritize")),F155,NA())</x:f>
        <x:v>50</x:v>
      </x:c>
    </x:row>
    <x:row r="156">
      <x:c r="A156" s="21" t="str">
        <x:f>'Task Matrix'!B126</x:f>
        <x:v>computing_math/tris_crackme</x:v>
      </x:c>
      <x:c r="B156" s="21" t="str">
        <x:f>'Task Matrix'!C126</x:f>
        <x:v>Tris Crackme</x:v>
      </x:c>
      <x:c r="C156" s="21" t="str">
        <x:f>'Task Matrix'!D126</x:f>
        <x:v>computing_math</x:v>
      </x:c>
      <x:c r="D156" s="21" t="str">
        <x:f>'Task Matrix'!AK126</x:f>
        <x:v>Deprioritize</x:v>
      </x:c>
      <x:c r="E156" s="66" t="n">
        <x:f>'Task Matrix'!AF126</x:f>
        <x:v>12741.302176</x:v>
      </x:c>
      <x:c r="F156" s="67" t="n">
        <x:f>'Task Matrix'!V126</x:f>
        <x:v>54</x:v>
      </x:c>
      <x:c r="G156" s="67" t="n">
        <x:f>'Task Matrix'!Y126</x:f>
        <x:v>52</x:v>
      </x:c>
      <x:c r="H156" s="67" t="e">
        <x:f>IF(AND(OR($B$5="All domains",$B$5=C156),C156="legal"),E156,NA())</x:f>
        <x:v>#N/A</x:v>
      </x:c>
      <x:c r="I156" s="67" t="e">
        <x:f>IF(AND(OR($B$5="All domains",$B$5=C156),C156="legal"),F156,NA())</x:f>
        <x:v>#N/A</x:v>
      </x:c>
      <x:c r="J156" s="67" t="e">
        <x:f>IF(AND(OR($B$5="All domains",$B$5=C156),C156&lt;&gt;"legal",D156="Build now"),E156,NA())</x:f>
        <x:v>#N/A</x:v>
      </x:c>
      <x:c r="K156" s="67" t="e">
        <x:f>IF(AND(OR($B$5="All domains",$B$5=C156),C156&lt;&gt;"legal",D156="Build now"),F156,NA())</x:f>
        <x:v>#N/A</x:v>
      </x:c>
      <x:c r="L156" s="67" t="e">
        <x:f>IF(AND(OR($B$5="All domains",$B$5=C156),C156&lt;&gt;"legal",D156="Validate next"),E156,NA())</x:f>
        <x:v>#N/A</x:v>
      </x:c>
      <x:c r="M156" s="67" t="e">
        <x:f>IF(AND(OR($B$5="All domains",$B$5=C156),C156&lt;&gt;"legal",D156="Validate next"),F156,NA())</x:f>
        <x:v>#N/A</x:v>
      </x:c>
      <x:c r="N156" s="67" t="n">
        <x:f>IF(AND(OR($B$5="All domains",$B$5=C156),C156&lt;&gt;"legal",OR(D156="Partner or monitor",D156="Deprioritize")),E156,NA())</x:f>
        <x:v>12741.302176</x:v>
      </x:c>
      <x:c r="O156" s="67" t="n">
        <x:f>IF(AND(OR($B$5="All domains",$B$5=C156),C156&lt;&gt;"legal",OR(D156="Partner or monitor",D156="Deprioritize")),F156,NA())</x:f>
        <x:v>54</x:v>
      </x:c>
    </x:row>
    <x:row r="157">
      <x:c r="A157" s="21" t="str">
        <x:f>'Task Matrix'!B127</x:f>
        <x:v>computing_math/dit_pipeline_cfg_alignment_fid_256_001</x:v>
      </x:c>
      <x:c r="B157" s="21" t="str">
        <x:f>'Task Matrix'!C127</x:f>
        <x:v>Repair Standalone DiT Pipeline CFG Alignment</x:v>
      </x:c>
      <x:c r="C157" s="21" t="str">
        <x:f>'Task Matrix'!D127</x:f>
        <x:v>computing_math</x:v>
      </x:c>
      <x:c r="D157" s="21" t="str">
        <x:f>'Task Matrix'!AK127</x:f>
        <x:v>Deprioritize</x:v>
      </x:c>
      <x:c r="E157" s="66" t="n">
        <x:f>'Task Matrix'!AF127</x:f>
        <x:v>12741.302176</x:v>
      </x:c>
      <x:c r="F157" s="67" t="n">
        <x:f>'Task Matrix'!V127</x:f>
        <x:v>54</x:v>
      </x:c>
      <x:c r="G157" s="67" t="n">
        <x:f>'Task Matrix'!Y127</x:f>
        <x:v>52</x:v>
      </x:c>
      <x:c r="H157" s="67" t="e">
        <x:f>IF(AND(OR($B$5="All domains",$B$5=C157),C157="legal"),E157,NA())</x:f>
        <x:v>#N/A</x:v>
      </x:c>
      <x:c r="I157" s="67" t="e">
        <x:f>IF(AND(OR($B$5="All domains",$B$5=C157),C157="legal"),F157,NA())</x:f>
        <x:v>#N/A</x:v>
      </x:c>
      <x:c r="J157" s="67" t="e">
        <x:f>IF(AND(OR($B$5="All domains",$B$5=C157),C157&lt;&gt;"legal",D157="Build now"),E157,NA())</x:f>
        <x:v>#N/A</x:v>
      </x:c>
      <x:c r="K157" s="67" t="e">
        <x:f>IF(AND(OR($B$5="All domains",$B$5=C157),C157&lt;&gt;"legal",D157="Build now"),F157,NA())</x:f>
        <x:v>#N/A</x:v>
      </x:c>
      <x:c r="L157" s="67" t="e">
        <x:f>IF(AND(OR($B$5="All domains",$B$5=C157),C157&lt;&gt;"legal",D157="Validate next"),E157,NA())</x:f>
        <x:v>#N/A</x:v>
      </x:c>
      <x:c r="M157" s="67" t="e">
        <x:f>IF(AND(OR($B$5="All domains",$B$5=C157),C157&lt;&gt;"legal",D157="Validate next"),F157,NA())</x:f>
        <x:v>#N/A</x:v>
      </x:c>
      <x:c r="N157" s="67" t="n">
        <x:f>IF(AND(OR($B$5="All domains",$B$5=C157),C157&lt;&gt;"legal",OR(D157="Partner or monitor",D157="Deprioritize")),E157,NA())</x:f>
        <x:v>12741.302176</x:v>
      </x:c>
      <x:c r="O157" s="67" t="n">
        <x:f>IF(AND(OR($B$5="All domains",$B$5=C157),C157&lt;&gt;"legal",OR(D157="Partner or monitor",D157="Deprioritize")),F157,NA())</x:f>
        <x:v>54</x:v>
      </x:c>
    </x:row>
    <x:row r="158">
      <x:c r="A158" s="21" t="str">
        <x:f>'Task Matrix'!B128</x:f>
        <x:v>other/mota_exploration</x:v>
      </x:c>
      <x:c r="B158" s="21" t="str">
        <x:f>'Task Matrix'!C128</x:f>
        <x:v>Game Port Reference Capture: Magic Tower</x:v>
      </x:c>
      <x:c r="C158" s="21" t="str">
        <x:f>'Task Matrix'!D128</x:f>
        <x:v>other</x:v>
      </x:c>
      <x:c r="D158" s="21" t="str">
        <x:f>'Task Matrix'!AK128</x:f>
        <x:v>Deprioritize</x:v>
      </x:c>
      <x:c r="E158" s="66" t="n">
        <x:f>'Task Matrix'!AF128</x:f>
        <x:v>11053.306239999998</x:v>
      </x:c>
      <x:c r="F158" s="67" t="n">
        <x:f>'Task Matrix'!V128</x:f>
        <x:v>54</x:v>
      </x:c>
      <x:c r="G158" s="67" t="n">
        <x:f>'Task Matrix'!Y128</x:f>
        <x:v>52</x:v>
      </x:c>
      <x:c r="H158" s="67" t="e">
        <x:f>IF(AND(OR($B$5="All domains",$B$5=C158),C158="legal"),E158,NA())</x:f>
        <x:v>#N/A</x:v>
      </x:c>
      <x:c r="I158" s="67" t="e">
        <x:f>IF(AND(OR($B$5="All domains",$B$5=C158),C158="legal"),F158,NA())</x:f>
        <x:v>#N/A</x:v>
      </x:c>
      <x:c r="J158" s="67" t="e">
        <x:f>IF(AND(OR($B$5="All domains",$B$5=C158),C158&lt;&gt;"legal",D158="Build now"),E158,NA())</x:f>
        <x:v>#N/A</x:v>
      </x:c>
      <x:c r="K158" s="67" t="e">
        <x:f>IF(AND(OR($B$5="All domains",$B$5=C158),C158&lt;&gt;"legal",D158="Build now"),F158,NA())</x:f>
        <x:v>#N/A</x:v>
      </x:c>
      <x:c r="L158" s="67" t="e">
        <x:f>IF(AND(OR($B$5="All domains",$B$5=C158),C158&lt;&gt;"legal",D158="Validate next"),E158,NA())</x:f>
        <x:v>#N/A</x:v>
      </x:c>
      <x:c r="M158" s="67" t="e">
        <x:f>IF(AND(OR($B$5="All domains",$B$5=C158),C158&lt;&gt;"legal",D158="Validate next"),F158,NA())</x:f>
        <x:v>#N/A</x:v>
      </x:c>
      <x:c r="N158" s="67" t="n">
        <x:f>IF(AND(OR($B$5="All domains",$B$5=C158),C158&lt;&gt;"legal",OR(D158="Partner or monitor",D158="Deprioritize")),E158,NA())</x:f>
        <x:v>11053.306239999998</x:v>
      </x:c>
      <x:c r="O158" s="67" t="n">
        <x:f>IF(AND(OR($B$5="All domains",$B$5=C158),C158&lt;&gt;"legal",OR(D158="Partner or monitor",D158="Deprioritize")),F158,NA())</x:f>
        <x:v>54</x:v>
      </x:c>
    </x:row>
    <x:row r="159">
      <x:c r="A159" s="21" t="str">
        <x:f>'Task Matrix'!B129</x:f>
        <x:v>health_medicine/microdicom_nih_cxr_reader_adjudication</x:v>
      </x:c>
      <x:c r="B159" s="21" t="str">
        <x:f>'Task Matrix'!C129</x:f>
        <x:v>MicroDicom NIH CXR Reader Adjudication</x:v>
      </x:c>
      <x:c r="C159" s="21" t="str">
        <x:f>'Task Matrix'!D129</x:f>
        <x:v>health_medicine</x:v>
      </x:c>
      <x:c r="D159" s="21" t="str">
        <x:f>'Task Matrix'!AK129</x:f>
        <x:v>Deprioritize</x:v>
      </x:c>
      <x:c r="E159" s="66" t="n">
        <x:f>'Task Matrix'!AF129</x:f>
        <x:v>0</x:v>
      </x:c>
      <x:c r="F159" s="67" t="n">
        <x:f>'Task Matrix'!V129</x:f>
        <x:v>10</x:v>
      </x:c>
      <x:c r="G159" s="67" t="n">
        <x:f>'Task Matrix'!Y129</x:f>
        <x:v>64</x:v>
      </x:c>
      <x:c r="H159" s="67" t="e">
        <x:f>IF(AND(OR($B$5="All domains",$B$5=C159),C159="legal"),E159,NA())</x:f>
        <x:v>#N/A</x:v>
      </x:c>
      <x:c r="I159" s="67" t="e">
        <x:f>IF(AND(OR($B$5="All domains",$B$5=C159),C159="legal"),F159,NA())</x:f>
        <x:v>#N/A</x:v>
      </x:c>
      <x:c r="J159" s="67" t="e">
        <x:f>IF(AND(OR($B$5="All domains",$B$5=C159),C159&lt;&gt;"legal",D159="Build now"),E159,NA())</x:f>
        <x:v>#N/A</x:v>
      </x:c>
      <x:c r="K159" s="67" t="e">
        <x:f>IF(AND(OR($B$5="All domains",$B$5=C159),C159&lt;&gt;"legal",D159="Build now"),F159,NA())</x:f>
        <x:v>#N/A</x:v>
      </x:c>
      <x:c r="L159" s="67" t="e">
        <x:f>IF(AND(OR($B$5="All domains",$B$5=C159),C159&lt;&gt;"legal",D159="Validate next"),E159,NA())</x:f>
        <x:v>#N/A</x:v>
      </x:c>
      <x:c r="M159" s="67" t="e">
        <x:f>IF(AND(OR($B$5="All domains",$B$5=C159),C159&lt;&gt;"legal",D159="Validate next"),F159,NA())</x:f>
        <x:v>#N/A</x:v>
      </x:c>
      <x:c r="N159" s="67" t="n">
        <x:f>IF(AND(OR($B$5="All domains",$B$5=C159),C159&lt;&gt;"legal",OR(D159="Partner or monitor",D159="Deprioritize")),E159,NA())</x:f>
        <x:v>0</x:v>
      </x:c>
      <x:c r="O159" s="67" t="n">
        <x:f>IF(AND(OR($B$5="All domains",$B$5=C159),C159&lt;&gt;"legal",OR(D159="Partner or monitor",D159="Deprioritize")),F159,NA())</x:f>
        <x:v>10</x:v>
      </x:c>
    </x:row>
    <x:row r="160">
      <x:c r="A160" s="21" t="str">
        <x:f>'Task Matrix'!B130</x:f>
        <x:v>business_finance/saas_onepager_brand_refresh_instance_1</x:v>
      </x:c>
      <x:c r="B160" s="21" t="str">
        <x:f>'Task Matrix'!C130</x:f>
        <x:v>SaaS One-Pager Brand Refresh</x:v>
      </x:c>
      <x:c r="C160" s="21" t="str">
        <x:f>'Task Matrix'!D130</x:f>
        <x:v>business_finance</x:v>
      </x:c>
      <x:c r="D160" s="21" t="str">
        <x:f>'Task Matrix'!AK130</x:f>
        <x:v>Deprioritize</x:v>
      </x:c>
      <x:c r="E160" s="66" t="n">
        <x:f>'Task Matrix'!AF130</x:f>
        <x:v>471.2878400000027</x:v>
      </x:c>
      <x:c r="F160" s="67" t="n">
        <x:f>'Task Matrix'!V130</x:f>
        <x:v>20</x:v>
      </x:c>
      <x:c r="G160" s="67" t="n">
        <x:f>'Task Matrix'!Y130</x:f>
        <x:v>56</x:v>
      </x:c>
      <x:c r="H160" s="67" t="e">
        <x:f>IF(AND(OR($B$5="All domains",$B$5=C160),C160="legal"),E160,NA())</x:f>
        <x:v>#N/A</x:v>
      </x:c>
      <x:c r="I160" s="67" t="e">
        <x:f>IF(AND(OR($B$5="All domains",$B$5=C160),C160="legal"),F160,NA())</x:f>
        <x:v>#N/A</x:v>
      </x:c>
      <x:c r="J160" s="67" t="e">
        <x:f>IF(AND(OR($B$5="All domains",$B$5=C160),C160&lt;&gt;"legal",D160="Build now"),E160,NA())</x:f>
        <x:v>#N/A</x:v>
      </x:c>
      <x:c r="K160" s="67" t="e">
        <x:f>IF(AND(OR($B$5="All domains",$B$5=C160),C160&lt;&gt;"legal",D160="Build now"),F160,NA())</x:f>
        <x:v>#N/A</x:v>
      </x:c>
      <x:c r="L160" s="67" t="e">
        <x:f>IF(AND(OR($B$5="All domains",$B$5=C160),C160&lt;&gt;"legal",D160="Validate next"),E160,NA())</x:f>
        <x:v>#N/A</x:v>
      </x:c>
      <x:c r="M160" s="67" t="e">
        <x:f>IF(AND(OR($B$5="All domains",$B$5=C160),C160&lt;&gt;"legal",D160="Validate next"),F160,NA())</x:f>
        <x:v>#N/A</x:v>
      </x:c>
      <x:c r="N160" s="67" t="n">
        <x:f>IF(AND(OR($B$5="All domains",$B$5=C160),C160&lt;&gt;"legal",OR(D160="Partner or monitor",D160="Deprioritize")),E160,NA())</x:f>
        <x:v>471.2878400000027</x:v>
      </x:c>
      <x:c r="O160" s="67" t="n">
        <x:f>IF(AND(OR($B$5="All domains",$B$5=C160),C160&lt;&gt;"legal",OR(D160="Partner or monitor",D160="Deprioritize")),F160,NA())</x:f>
        <x:v>20</x:v>
      </x:c>
    </x:row>
    <x:row r="161">
      <x:c r="A161" s="21" t="str">
        <x:f>'Task Matrix'!B131</x:f>
        <x:v>business_finance/odoo</x:v>
      </x:c>
      <x:c r="B161" s="21" t="str">
        <x:f>'Task Matrix'!C131</x:f>
        <x:v>Odoo Supply-Chain End-To-End Workflow</x:v>
      </x:c>
      <x:c r="C161" s="21" t="str">
        <x:f>'Task Matrix'!D131</x:f>
        <x:v>business_finance</x:v>
      </x:c>
      <x:c r="D161" s="21" t="str">
        <x:f>'Task Matrix'!AK131</x:f>
        <x:v>Deprioritize</x:v>
      </x:c>
      <x:c r="E161" s="66" t="n">
        <x:f>'Task Matrix'!AF131</x:f>
        <x:v>0</x:v>
      </x:c>
      <x:c r="F161" s="67" t="n">
        <x:f>'Task Matrix'!V131</x:f>
        <x:v>5</x:v>
      </x:c>
      <x:c r="G161" s="67" t="n">
        <x:f>'Task Matrix'!Y131</x:f>
        <x:v>52</x:v>
      </x:c>
      <x:c r="H161" s="67" t="e">
        <x:f>IF(AND(OR($B$5="All domains",$B$5=C161),C161="legal"),E161,NA())</x:f>
        <x:v>#N/A</x:v>
      </x:c>
      <x:c r="I161" s="67" t="e">
        <x:f>IF(AND(OR($B$5="All domains",$B$5=C161),C161="legal"),F161,NA())</x:f>
        <x:v>#N/A</x:v>
      </x:c>
      <x:c r="J161" s="67" t="e">
        <x:f>IF(AND(OR($B$5="All domains",$B$5=C161),C161&lt;&gt;"legal",D161="Build now"),E161,NA())</x:f>
        <x:v>#N/A</x:v>
      </x:c>
      <x:c r="K161" s="67" t="e">
        <x:f>IF(AND(OR($B$5="All domains",$B$5=C161),C161&lt;&gt;"legal",D161="Build now"),F161,NA())</x:f>
        <x:v>#N/A</x:v>
      </x:c>
      <x:c r="L161" s="67" t="e">
        <x:f>IF(AND(OR($B$5="All domains",$B$5=C161),C161&lt;&gt;"legal",D161="Validate next"),E161,NA())</x:f>
        <x:v>#N/A</x:v>
      </x:c>
      <x:c r="M161" s="67" t="e">
        <x:f>IF(AND(OR($B$5="All domains",$B$5=C161),C161&lt;&gt;"legal",D161="Validate next"),F161,NA())</x:f>
        <x:v>#N/A</x:v>
      </x:c>
      <x:c r="N161" s="67" t="n">
        <x:f>IF(AND(OR($B$5="All domains",$B$5=C161),C161&lt;&gt;"legal",OR(D161="Partner or monitor",D161="Deprioritize")),E161,NA())</x:f>
        <x:v>0</x:v>
      </x:c>
      <x:c r="O161" s="67" t="n">
        <x:f>IF(AND(OR($B$5="All domains",$B$5=C161),C161&lt;&gt;"legal",OR(D161="Partner or monitor",D161="Deprioritize")),F161,NA())</x:f>
        <x:v>5</x:v>
      </x:c>
    </x:row>
    <x:row r="162">
      <x:c r="A162" s="21" t="str">
        <x:f>'Task Matrix'!B132</x:f>
        <x:v>computing_math/go_game_reconstruction_1</x:v>
      </x:c>
      <x:c r="B162" s="21" t="str">
        <x:f>'Task Matrix'!C132</x:f>
        <x:v>Go Game Reconstruction 1</x:v>
      </x:c>
      <x:c r="C162" s="21" t="str">
        <x:f>'Task Matrix'!D132</x:f>
        <x:v>computing_math</x:v>
      </x:c>
      <x:c r="D162" s="21" t="str">
        <x:f>'Task Matrix'!AK132</x:f>
        <x:v>Deprioritize</x:v>
      </x:c>
      <x:c r="E162" s="66" t="n">
        <x:f>'Task Matrix'!AF132</x:f>
        <x:v>3815.9958272000003</x:v>
      </x:c>
      <x:c r="F162" s="67" t="n">
        <x:f>'Task Matrix'!V132</x:f>
        <x:v>24</x:v>
      </x:c>
      <x:c r="G162" s="67" t="n">
        <x:f>'Task Matrix'!Y132</x:f>
        <x:v>64</x:v>
      </x:c>
      <x:c r="H162" s="67" t="e">
        <x:f>IF(AND(OR($B$5="All domains",$B$5=C162),C162="legal"),E162,NA())</x:f>
        <x:v>#N/A</x:v>
      </x:c>
      <x:c r="I162" s="67" t="e">
        <x:f>IF(AND(OR($B$5="All domains",$B$5=C162),C162="legal"),F162,NA())</x:f>
        <x:v>#N/A</x:v>
      </x:c>
      <x:c r="J162" s="67" t="e">
        <x:f>IF(AND(OR($B$5="All domains",$B$5=C162),C162&lt;&gt;"legal",D162="Build now"),E162,NA())</x:f>
        <x:v>#N/A</x:v>
      </x:c>
      <x:c r="K162" s="67" t="e">
        <x:f>IF(AND(OR($B$5="All domains",$B$5=C162),C162&lt;&gt;"legal",D162="Build now"),F162,NA())</x:f>
        <x:v>#N/A</x:v>
      </x:c>
      <x:c r="L162" s="67" t="e">
        <x:f>IF(AND(OR($B$5="All domains",$B$5=C162),C162&lt;&gt;"legal",D162="Validate next"),E162,NA())</x:f>
        <x:v>#N/A</x:v>
      </x:c>
      <x:c r="M162" s="67" t="e">
        <x:f>IF(AND(OR($B$5="All domains",$B$5=C162),C162&lt;&gt;"legal",D162="Validate next"),F162,NA())</x:f>
        <x:v>#N/A</x:v>
      </x:c>
      <x:c r="N162" s="67" t="n">
        <x:f>IF(AND(OR($B$5="All domains",$B$5=C162),C162&lt;&gt;"legal",OR(D162="Partner or monitor",D162="Deprioritize")),E162,NA())</x:f>
        <x:v>3815.9958272000003</x:v>
      </x:c>
      <x:c r="O162" s="67" t="n">
        <x:f>IF(AND(OR($B$5="All domains",$B$5=C162),C162&lt;&gt;"legal",OR(D162="Partner or monitor",D162="Deprioritize")),F162,NA())</x:f>
        <x:v>24</x:v>
      </x:c>
    </x:row>
    <x:row r="163">
      <x:c r="A163" s="21" t="str">
        <x:f>'Task Matrix'!B133</x:f>
        <x:v>engineering/mold-flow</x:v>
      </x:c>
      <x:c r="B163" s="21" t="str">
        <x:f>'Task Matrix'!C133</x:f>
        <x:v>mold-flow</x:v>
      </x:c>
      <x:c r="C163" s="21" t="str">
        <x:f>'Task Matrix'!D133</x:f>
        <x:v>engineering</x:v>
      </x:c>
      <x:c r="D163" s="21" t="str">
        <x:f>'Task Matrix'!AK133</x:f>
        <x:v>Deprioritize</x:v>
      </x:c>
      <x:c r="E163" s="66" t="n">
        <x:f>'Task Matrix'!AF133</x:f>
        <x:v>0</x:v>
      </x:c>
      <x:c r="F163" s="67" t="n">
        <x:f>'Task Matrix'!V133</x:f>
        <x:v>20</x:v>
      </x:c>
      <x:c r="G163" s="67" t="n">
        <x:f>'Task Matrix'!Y133</x:f>
        <x:v>56</x:v>
      </x:c>
      <x:c r="H163" s="67" t="e">
        <x:f>IF(AND(OR($B$5="All domains",$B$5=C163),C163="legal"),E163,NA())</x:f>
        <x:v>#N/A</x:v>
      </x:c>
      <x:c r="I163" s="67" t="e">
        <x:f>IF(AND(OR($B$5="All domains",$B$5=C163),C163="legal"),F163,NA())</x:f>
        <x:v>#N/A</x:v>
      </x:c>
      <x:c r="J163" s="67" t="e">
        <x:f>IF(AND(OR($B$5="All domains",$B$5=C163),C163&lt;&gt;"legal",D163="Build now"),E163,NA())</x:f>
        <x:v>#N/A</x:v>
      </x:c>
      <x:c r="K163" s="67" t="e">
        <x:f>IF(AND(OR($B$5="All domains",$B$5=C163),C163&lt;&gt;"legal",D163="Build now"),F163,NA())</x:f>
        <x:v>#N/A</x:v>
      </x:c>
      <x:c r="L163" s="67" t="e">
        <x:f>IF(AND(OR($B$5="All domains",$B$5=C163),C163&lt;&gt;"legal",D163="Validate next"),E163,NA())</x:f>
        <x:v>#N/A</x:v>
      </x:c>
      <x:c r="M163" s="67" t="e">
        <x:f>IF(AND(OR($B$5="All domains",$B$5=C163),C163&lt;&gt;"legal",D163="Validate next"),F163,NA())</x:f>
        <x:v>#N/A</x:v>
      </x:c>
      <x:c r="N163" s="67" t="n">
        <x:f>IF(AND(OR($B$5="All domains",$B$5=C163),C163&lt;&gt;"legal",OR(D163="Partner or monitor",D163="Deprioritize")),E163,NA())</x:f>
        <x:v>0</x:v>
      </x:c>
      <x:c r="O163" s="67" t="n">
        <x:f>IF(AND(OR($B$5="All domains",$B$5=C163),C163&lt;&gt;"legal",OR(D163="Partner or monitor",D163="Deprioritize")),F163,NA())</x:f>
        <x:v>20</x:v>
      </x:c>
    </x:row>
    <x:row r="164">
      <x:c r="A164" s="21" t="str">
        <x:f>'Task Matrix'!B134</x:f>
        <x:v>business_finance/metabase_bi_dashboard_01</x:v>
      </x:c>
      <x:c r="B164" s="21" t="str">
        <x:f>'Task Matrix'!C134</x:f>
        <x:v>Metabase BI Dashboard</x:v>
      </x:c>
      <x:c r="C164" s="21" t="str">
        <x:f>'Task Matrix'!D134</x:f>
        <x:v>business_finance</x:v>
      </x:c>
      <x:c r="D164" s="21" t="str">
        <x:f>'Task Matrix'!AK134</x:f>
        <x:v>Deprioritize</x:v>
      </x:c>
      <x:c r="E164" s="66" t="n">
        <x:f>'Task Matrix'!AF134</x:f>
        <x:v>471.2878400000027</x:v>
      </x:c>
      <x:c r="F164" s="67" t="n">
        <x:f>'Task Matrix'!V134</x:f>
        <x:v>20</x:v>
      </x:c>
      <x:c r="G164" s="67" t="n">
        <x:f>'Task Matrix'!Y134</x:f>
        <x:v>48</x:v>
      </x:c>
      <x:c r="H164" s="67" t="e">
        <x:f>IF(AND(OR($B$5="All domains",$B$5=C164),C164="legal"),E164,NA())</x:f>
        <x:v>#N/A</x:v>
      </x:c>
      <x:c r="I164" s="67" t="e">
        <x:f>IF(AND(OR($B$5="All domains",$B$5=C164),C164="legal"),F164,NA())</x:f>
        <x:v>#N/A</x:v>
      </x:c>
      <x:c r="J164" s="67" t="e">
        <x:f>IF(AND(OR($B$5="All domains",$B$5=C164),C164&lt;&gt;"legal",D164="Build now"),E164,NA())</x:f>
        <x:v>#N/A</x:v>
      </x:c>
      <x:c r="K164" s="67" t="e">
        <x:f>IF(AND(OR($B$5="All domains",$B$5=C164),C164&lt;&gt;"legal",D164="Build now"),F164,NA())</x:f>
        <x:v>#N/A</x:v>
      </x:c>
      <x:c r="L164" s="67" t="e">
        <x:f>IF(AND(OR($B$5="All domains",$B$5=C164),C164&lt;&gt;"legal",D164="Validate next"),E164,NA())</x:f>
        <x:v>#N/A</x:v>
      </x:c>
      <x:c r="M164" s="67" t="e">
        <x:f>IF(AND(OR($B$5="All domains",$B$5=C164),C164&lt;&gt;"legal",D164="Validate next"),F164,NA())</x:f>
        <x:v>#N/A</x:v>
      </x:c>
      <x:c r="N164" s="67" t="n">
        <x:f>IF(AND(OR($B$5="All domains",$B$5=C164),C164&lt;&gt;"legal",OR(D164="Partner or monitor",D164="Deprioritize")),E164,NA())</x:f>
        <x:v>471.2878400000027</x:v>
      </x:c>
      <x:c r="O164" s="67" t="n">
        <x:f>IF(AND(OR($B$5="All domains",$B$5=C164),C164&lt;&gt;"legal",OR(D164="Partner or monitor",D164="Deprioritize")),F164,NA())</x:f>
        <x:v>20</x:v>
      </x:c>
    </x:row>
    <x:row r="165">
      <x:c r="A165" s="21" t="str">
        <x:f>'Task Matrix'!B135</x:f>
        <x:v>visual_media/inkscape_cultural_poster_design</x:v>
      </x:c>
      <x:c r="B165" s="21" t="str">
        <x:f>'Task Matrix'!C135</x:f>
        <x:v>Inkscape Cultural Poster Design</x:v>
      </x:c>
      <x:c r="C165" s="21" t="str">
        <x:f>'Task Matrix'!D135</x:f>
        <x:v>visual_media</x:v>
      </x:c>
      <x:c r="D165" s="21" t="str">
        <x:f>'Task Matrix'!AK135</x:f>
        <x:v>Deprioritize</x:v>
      </x:c>
      <x:c r="E165" s="66" t="n">
        <x:f>'Task Matrix'!AF135</x:f>
        <x:v>3266.0833279999997</x:v>
      </x:c>
      <x:c r="F165" s="67" t="n">
        <x:f>'Task Matrix'!V135</x:f>
        <x:v>24</x:v>
      </x:c>
      <x:c r="G165" s="67" t="n">
        <x:f>'Task Matrix'!Y135</x:f>
        <x:v>64</x:v>
      </x:c>
      <x:c r="H165" s="67" t="e">
        <x:f>IF(AND(OR($B$5="All domains",$B$5=C165),C165="legal"),E165,NA())</x:f>
        <x:v>#N/A</x:v>
      </x:c>
      <x:c r="I165" s="67" t="e">
        <x:f>IF(AND(OR($B$5="All domains",$B$5=C165),C165="legal"),F165,NA())</x:f>
        <x:v>#N/A</x:v>
      </x:c>
      <x:c r="J165" s="67" t="e">
        <x:f>IF(AND(OR($B$5="All domains",$B$5=C165),C165&lt;&gt;"legal",D165="Build now"),E165,NA())</x:f>
        <x:v>#N/A</x:v>
      </x:c>
      <x:c r="K165" s="67" t="e">
        <x:f>IF(AND(OR($B$5="All domains",$B$5=C165),C165&lt;&gt;"legal",D165="Build now"),F165,NA())</x:f>
        <x:v>#N/A</x:v>
      </x:c>
      <x:c r="L165" s="67" t="e">
        <x:f>IF(AND(OR($B$5="All domains",$B$5=C165),C165&lt;&gt;"legal",D165="Validate next"),E165,NA())</x:f>
        <x:v>#N/A</x:v>
      </x:c>
      <x:c r="M165" s="67" t="e">
        <x:f>IF(AND(OR($B$5="All domains",$B$5=C165),C165&lt;&gt;"legal",D165="Validate next"),F165,NA())</x:f>
        <x:v>#N/A</x:v>
      </x:c>
      <x:c r="N165" s="67" t="n">
        <x:f>IF(AND(OR($B$5="All domains",$B$5=C165),C165&lt;&gt;"legal",OR(D165="Partner or monitor",D165="Deprioritize")),E165,NA())</x:f>
        <x:v>3266.0833279999997</x:v>
      </x:c>
      <x:c r="O165" s="67" t="n">
        <x:f>IF(AND(OR($B$5="All domains",$B$5=C165),C165&lt;&gt;"legal",OR(D165="Partner or monitor",D165="Deprioritize")),F165,NA())</x:f>
        <x:v>24</x:v>
      </x:c>
    </x:row>
    <x:row r="166">
      <x:c r="A166" s="21" t="str">
        <x:f>'Task Matrix'!B136</x:f>
        <x:v>engineering/2d_drawings_to_3d_building_model</x:v>
      </x:c>
      <x:c r="B166" s="21" t="str">
        <x:f>'Task Matrix'!C136</x:f>
        <x:v>Betonwerk Katzenberger 3D Model</x:v>
      </x:c>
      <x:c r="C166" s="21" t="str">
        <x:f>'Task Matrix'!D136</x:f>
        <x:v>engineering</x:v>
      </x:c>
      <x:c r="D166" s="21" t="str">
        <x:f>'Task Matrix'!AK136</x:f>
        <x:v>Deprioritize</x:v>
      </x:c>
      <x:c r="E166" s="66" t="n">
        <x:f>'Task Matrix'!AF136</x:f>
        <x:v>0</x:v>
      </x:c>
      <x:c r="F166" s="67" t="n">
        <x:f>'Task Matrix'!V136</x:f>
        <x:v>20</x:v>
      </x:c>
      <x:c r="G166" s="67" t="n">
        <x:f>'Task Matrix'!Y136</x:f>
        <x:v>56</x:v>
      </x:c>
      <x:c r="H166" s="67" t="e">
        <x:f>IF(AND(OR($B$5="All domains",$B$5=C166),C166="legal"),E166,NA())</x:f>
        <x:v>#N/A</x:v>
      </x:c>
      <x:c r="I166" s="67" t="e">
        <x:f>IF(AND(OR($B$5="All domains",$B$5=C166),C166="legal"),F166,NA())</x:f>
        <x:v>#N/A</x:v>
      </x:c>
      <x:c r="J166" s="67" t="e">
        <x:f>IF(AND(OR($B$5="All domains",$B$5=C166),C166&lt;&gt;"legal",D166="Build now"),E166,NA())</x:f>
        <x:v>#N/A</x:v>
      </x:c>
      <x:c r="K166" s="67" t="e">
        <x:f>IF(AND(OR($B$5="All domains",$B$5=C166),C166&lt;&gt;"legal",D166="Build now"),F166,NA())</x:f>
        <x:v>#N/A</x:v>
      </x:c>
      <x:c r="L166" s="67" t="e">
        <x:f>IF(AND(OR($B$5="All domains",$B$5=C166),C166&lt;&gt;"legal",D166="Validate next"),E166,NA())</x:f>
        <x:v>#N/A</x:v>
      </x:c>
      <x:c r="M166" s="67" t="e">
        <x:f>IF(AND(OR($B$5="All domains",$B$5=C166),C166&lt;&gt;"legal",D166="Validate next"),F166,NA())</x:f>
        <x:v>#N/A</x:v>
      </x:c>
      <x:c r="N166" s="67" t="n">
        <x:f>IF(AND(OR($B$5="All domains",$B$5=C166),C166&lt;&gt;"legal",OR(D166="Partner or monitor",D166="Deprioritize")),E166,NA())</x:f>
        <x:v>0</x:v>
      </x:c>
      <x:c r="O166" s="67" t="n">
        <x:f>IF(AND(OR($B$5="All domains",$B$5=C166),C166&lt;&gt;"legal",OR(D166="Partner or monitor",D166="Deprioritize")),F166,NA())</x:f>
        <x:v>20</x:v>
      </x:c>
    </x:row>
    <x:row r="167">
      <x:c r="A167" s="21" t="str">
        <x:f>'Task Matrix'!B137</x:f>
        <x:v>engineering/2d_drawings_to_3d_bridge_model</x:v>
      </x:c>
      <x:c r="B167" s="21" t="str">
        <x:f>'Task Matrix'!C137</x:f>
        <x:v>Bridge The Gap — Bridge + Site 3D Model</x:v>
      </x:c>
      <x:c r="C167" s="21" t="str">
        <x:f>'Task Matrix'!D137</x:f>
        <x:v>engineering</x:v>
      </x:c>
      <x:c r="D167" s="21" t="str">
        <x:f>'Task Matrix'!AK137</x:f>
        <x:v>Deprioritize</x:v>
      </x:c>
      <x:c r="E167" s="66" t="n">
        <x:f>'Task Matrix'!AF137</x:f>
        <x:v>0</x:v>
      </x:c>
      <x:c r="F167" s="67" t="n">
        <x:f>'Task Matrix'!V137</x:f>
        <x:v>20</x:v>
      </x:c>
      <x:c r="G167" s="67" t="n">
        <x:f>'Task Matrix'!Y137</x:f>
        <x:v>56</x:v>
      </x:c>
      <x:c r="H167" s="67" t="e">
        <x:f>IF(AND(OR($B$5="All domains",$B$5=C167),C167="legal"),E167,NA())</x:f>
        <x:v>#N/A</x:v>
      </x:c>
      <x:c r="I167" s="67" t="e">
        <x:f>IF(AND(OR($B$5="All domains",$B$5=C167),C167="legal"),F167,NA())</x:f>
        <x:v>#N/A</x:v>
      </x:c>
      <x:c r="J167" s="67" t="e">
        <x:f>IF(AND(OR($B$5="All domains",$B$5=C167),C167&lt;&gt;"legal",D167="Build now"),E167,NA())</x:f>
        <x:v>#N/A</x:v>
      </x:c>
      <x:c r="K167" s="67" t="e">
        <x:f>IF(AND(OR($B$5="All domains",$B$5=C167),C167&lt;&gt;"legal",D167="Build now"),F167,NA())</x:f>
        <x:v>#N/A</x:v>
      </x:c>
      <x:c r="L167" s="67" t="e">
        <x:f>IF(AND(OR($B$5="All domains",$B$5=C167),C167&lt;&gt;"legal",D167="Validate next"),E167,NA())</x:f>
        <x:v>#N/A</x:v>
      </x:c>
      <x:c r="M167" s="67" t="e">
        <x:f>IF(AND(OR($B$5="All domains",$B$5=C167),C167&lt;&gt;"legal",D167="Validate next"),F167,NA())</x:f>
        <x:v>#N/A</x:v>
      </x:c>
      <x:c r="N167" s="67" t="n">
        <x:f>IF(AND(OR($B$5="All domains",$B$5=C167),C167&lt;&gt;"legal",OR(D167="Partner or monitor",D167="Deprioritize")),E167,NA())</x:f>
        <x:v>0</x:v>
      </x:c>
      <x:c r="O167" s="67" t="n">
        <x:f>IF(AND(OR($B$5="All domains",$B$5=C167),C167&lt;&gt;"legal",OR(D167="Partner or monitor",D167="Deprioritize")),F167,NA())</x:f>
        <x:v>20</x:v>
      </x:c>
    </x:row>
    <x:row r="168">
      <x:c r="A168" s="21" t="str">
        <x:f>'Task Matrix'!B138</x:f>
        <x:v>engineering/inner_support_elevation_optimization</x:v>
      </x:c>
      <x:c r="B168" s="21" t="str">
        <x:f>'Task Matrix'!C138</x:f>
        <x:v>Inner Support Elevation Optimization</x:v>
      </x:c>
      <x:c r="C168" s="21" t="str">
        <x:f>'Task Matrix'!D138</x:f>
        <x:v>engineering</x:v>
      </x:c>
      <x:c r="D168" s="21" t="str">
        <x:f>'Task Matrix'!AK138</x:f>
        <x:v>Deprioritize</x:v>
      </x:c>
      <x:c r="E168" s="66" t="n">
        <x:f>'Task Matrix'!AF138</x:f>
        <x:v>0</x:v>
      </x:c>
      <x:c r="F168" s="67" t="n">
        <x:f>'Task Matrix'!V138</x:f>
        <x:v>17</x:v>
      </x:c>
      <x:c r="G168" s="67" t="n">
        <x:f>'Task Matrix'!Y138</x:f>
        <x:v>56</x:v>
      </x:c>
      <x:c r="H168" s="67" t="e">
        <x:f>IF(AND(OR($B$5="All domains",$B$5=C168),C168="legal"),E168,NA())</x:f>
        <x:v>#N/A</x:v>
      </x:c>
      <x:c r="I168" s="67" t="e">
        <x:f>IF(AND(OR($B$5="All domains",$B$5=C168),C168="legal"),F168,NA())</x:f>
        <x:v>#N/A</x:v>
      </x:c>
      <x:c r="J168" s="67" t="e">
        <x:f>IF(AND(OR($B$5="All domains",$B$5=C168),C168&lt;&gt;"legal",D168="Build now"),E168,NA())</x:f>
        <x:v>#N/A</x:v>
      </x:c>
      <x:c r="K168" s="67" t="e">
        <x:f>IF(AND(OR($B$5="All domains",$B$5=C168),C168&lt;&gt;"legal",D168="Build now"),F168,NA())</x:f>
        <x:v>#N/A</x:v>
      </x:c>
      <x:c r="L168" s="67" t="e">
        <x:f>IF(AND(OR($B$5="All domains",$B$5=C168),C168&lt;&gt;"legal",D168="Validate next"),E168,NA())</x:f>
        <x:v>#N/A</x:v>
      </x:c>
      <x:c r="M168" s="67" t="e">
        <x:f>IF(AND(OR($B$5="All domains",$B$5=C168),C168&lt;&gt;"legal",D168="Validate next"),F168,NA())</x:f>
        <x:v>#N/A</x:v>
      </x:c>
      <x:c r="N168" s="67" t="n">
        <x:f>IF(AND(OR($B$5="All domains",$B$5=C168),C168&lt;&gt;"legal",OR(D168="Partner or monitor",D168="Deprioritize")),E168,NA())</x:f>
        <x:v>0</x:v>
      </x:c>
      <x:c r="O168" s="67" t="n">
        <x:f>IF(AND(OR($B$5="All domains",$B$5=C168),C168&lt;&gt;"legal",OR(D168="Partner or monitor",D168="Deprioritize")),F168,NA())</x:f>
        <x:v>17</x:v>
      </x:c>
    </x:row>
    <x:row r="169">
      <x:c r="A169" s="21" t="str">
        <x:f>'Task Matrix'!B139</x:f>
        <x:v>visual_media/blender_character_reconstruction_from_multiview_01</x:v>
      </x:c>
      <x:c r="B169" s="21" t="str">
        <x:f>'Task Matrix'!C139</x:f>
        <x:v>Blender Character Reconstruction From Multiview</x:v>
      </x:c>
      <x:c r="C169" s="21" t="str">
        <x:f>'Task Matrix'!D139</x:f>
        <x:v>visual_media</x:v>
      </x:c>
      <x:c r="D169" s="21" t="str">
        <x:f>'Task Matrix'!AK139</x:f>
        <x:v>Deprioritize</x:v>
      </x:c>
      <x:c r="E169" s="66" t="n">
        <x:f>'Task Matrix'!AF139</x:f>
        <x:v>1954.3654400000005</x:v>
      </x:c>
      <x:c r="F169" s="67" t="n">
        <x:f>'Task Matrix'!V139</x:f>
        <x:v>20</x:v>
      </x:c>
      <x:c r="G169" s="67" t="n">
        <x:f>'Task Matrix'!Y139</x:f>
        <x:v>56</x:v>
      </x:c>
      <x:c r="H169" s="67" t="e">
        <x:f>IF(AND(OR($B$5="All domains",$B$5=C169),C169="legal"),E169,NA())</x:f>
        <x:v>#N/A</x:v>
      </x:c>
      <x:c r="I169" s="67" t="e">
        <x:f>IF(AND(OR($B$5="All domains",$B$5=C169),C169="legal"),F169,NA())</x:f>
        <x:v>#N/A</x:v>
      </x:c>
      <x:c r="J169" s="67" t="e">
        <x:f>IF(AND(OR($B$5="All domains",$B$5=C169),C169&lt;&gt;"legal",D169="Build now"),E169,NA())</x:f>
        <x:v>#N/A</x:v>
      </x:c>
      <x:c r="K169" s="67" t="e">
        <x:f>IF(AND(OR($B$5="All domains",$B$5=C169),C169&lt;&gt;"legal",D169="Build now"),F169,NA())</x:f>
        <x:v>#N/A</x:v>
      </x:c>
      <x:c r="L169" s="67" t="e">
        <x:f>IF(AND(OR($B$5="All domains",$B$5=C169),C169&lt;&gt;"legal",D169="Validate next"),E169,NA())</x:f>
        <x:v>#N/A</x:v>
      </x:c>
      <x:c r="M169" s="67" t="e">
        <x:f>IF(AND(OR($B$5="All domains",$B$5=C169),C169&lt;&gt;"legal",D169="Validate next"),F169,NA())</x:f>
        <x:v>#N/A</x:v>
      </x:c>
      <x:c r="N169" s="67" t="n">
        <x:f>IF(AND(OR($B$5="All domains",$B$5=C169),C169&lt;&gt;"legal",OR(D169="Partner or monitor",D169="Deprioritize")),E169,NA())</x:f>
        <x:v>1954.3654400000005</x:v>
      </x:c>
      <x:c r="O169" s="67" t="n">
        <x:f>IF(AND(OR($B$5="All domains",$B$5=C169),C169&lt;&gt;"legal",OR(D169="Partner or monitor",D169="Deprioritize")),F169,NA())</x:f>
        <x:v>20</x:v>
      </x:c>
    </x:row>
    <x:row r="170">
      <x:c r="A170" s="21" t="str">
        <x:f>'Task Matrix'!B140</x:f>
        <x:v>visual_media/music_transcription</x:v>
      </x:c>
      <x:c r="B170" s="21" t="str">
        <x:f>'Task Matrix'!C140</x:f>
        <x:v>Music Transcription</x:v>
      </x:c>
      <x:c r="C170" s="21" t="str">
        <x:f>'Task Matrix'!D140</x:f>
        <x:v>visual_media</x:v>
      </x:c>
      <x:c r="D170" s="21" t="str">
        <x:f>'Task Matrix'!AK140</x:f>
        <x:v>Deprioritize</x:v>
      </x:c>
      <x:c r="E170" s="66" t="n">
        <x:f>'Task Matrix'!AF140</x:f>
        <x:v>1954.3654400000005</x:v>
      </x:c>
      <x:c r="F170" s="67" t="n">
        <x:f>'Task Matrix'!V140</x:f>
        <x:v>20</x:v>
      </x:c>
      <x:c r="G170" s="67" t="n">
        <x:f>'Task Matrix'!Y140</x:f>
        <x:v>56</x:v>
      </x:c>
      <x:c r="H170" s="67" t="e">
        <x:f>IF(AND(OR($B$5="All domains",$B$5=C170),C170="legal"),E170,NA())</x:f>
        <x:v>#N/A</x:v>
      </x:c>
      <x:c r="I170" s="67" t="e">
        <x:f>IF(AND(OR($B$5="All domains",$B$5=C170),C170="legal"),F170,NA())</x:f>
        <x:v>#N/A</x:v>
      </x:c>
      <x:c r="J170" s="67" t="e">
        <x:f>IF(AND(OR($B$5="All domains",$B$5=C170),C170&lt;&gt;"legal",D170="Build now"),E170,NA())</x:f>
        <x:v>#N/A</x:v>
      </x:c>
      <x:c r="K170" s="67" t="e">
        <x:f>IF(AND(OR($B$5="All domains",$B$5=C170),C170&lt;&gt;"legal",D170="Build now"),F170,NA())</x:f>
        <x:v>#N/A</x:v>
      </x:c>
      <x:c r="L170" s="67" t="e">
        <x:f>IF(AND(OR($B$5="All domains",$B$5=C170),C170&lt;&gt;"legal",D170="Validate next"),E170,NA())</x:f>
        <x:v>#N/A</x:v>
      </x:c>
      <x:c r="M170" s="67" t="e">
        <x:f>IF(AND(OR($B$5="All domains",$B$5=C170),C170&lt;&gt;"legal",D170="Validate next"),F170,NA())</x:f>
        <x:v>#N/A</x:v>
      </x:c>
      <x:c r="N170" s="67" t="n">
        <x:f>IF(AND(OR($B$5="All domains",$B$5=C170),C170&lt;&gt;"legal",OR(D170="Partner or monitor",D170="Deprioritize")),E170,NA())</x:f>
        <x:v>1954.3654400000005</x:v>
      </x:c>
      <x:c r="O170" s="67" t="n">
        <x:f>IF(AND(OR($B$5="All domains",$B$5=C170),C170&lt;&gt;"legal",OR(D170="Partner or monitor",D170="Deprioritize")),F170,NA())</x:f>
        <x:v>20</x:v>
      </x:c>
    </x:row>
    <x:row r="171">
      <x:c r="A171" s="21" t="str">
        <x:f>'Task Matrix'!B141</x:f>
        <x:v>engineering/robotics_blender_tabletop_reconstruction</x:v>
      </x:c>
      <x:c r="B171" s="21" t="str">
        <x:f>'Task Matrix'!C141</x:f>
        <x:v>Blender Tabletop Workspace Reconstruction</x:v>
      </x:c>
      <x:c r="C171" s="21" t="str">
        <x:f>'Task Matrix'!D141</x:f>
        <x:v>engineering</x:v>
      </x:c>
      <x:c r="D171" s="21" t="str">
        <x:f>'Task Matrix'!AK141</x:f>
        <x:v>Deprioritize</x:v>
      </x:c>
      <x:c r="E171" s="66" t="n">
        <x:f>'Task Matrix'!AF141</x:f>
        <x:v>0</x:v>
      </x:c>
      <x:c r="F171" s="67" t="n">
        <x:f>'Task Matrix'!V141</x:f>
        <x:v>10</x:v>
      </x:c>
      <x:c r="G171" s="67" t="n">
        <x:f>'Task Matrix'!Y141</x:f>
        <x:v>56</x:v>
      </x:c>
      <x:c r="H171" s="67" t="e">
        <x:f>IF(AND(OR($B$5="All domains",$B$5=C171),C171="legal"),E171,NA())</x:f>
        <x:v>#N/A</x:v>
      </x:c>
      <x:c r="I171" s="67" t="e">
        <x:f>IF(AND(OR($B$5="All domains",$B$5=C171),C171="legal"),F171,NA())</x:f>
        <x:v>#N/A</x:v>
      </x:c>
      <x:c r="J171" s="67" t="e">
        <x:f>IF(AND(OR($B$5="All domains",$B$5=C171),C171&lt;&gt;"legal",D171="Build now"),E171,NA())</x:f>
        <x:v>#N/A</x:v>
      </x:c>
      <x:c r="K171" s="67" t="e">
        <x:f>IF(AND(OR($B$5="All domains",$B$5=C171),C171&lt;&gt;"legal",D171="Build now"),F171,NA())</x:f>
        <x:v>#N/A</x:v>
      </x:c>
      <x:c r="L171" s="67" t="e">
        <x:f>IF(AND(OR($B$5="All domains",$B$5=C171),C171&lt;&gt;"legal",D171="Validate next"),E171,NA())</x:f>
        <x:v>#N/A</x:v>
      </x:c>
      <x:c r="M171" s="67" t="e">
        <x:f>IF(AND(OR($B$5="All domains",$B$5=C171),C171&lt;&gt;"legal",D171="Validate next"),F171,NA())</x:f>
        <x:v>#N/A</x:v>
      </x:c>
      <x:c r="N171" s="67" t="n">
        <x:f>IF(AND(OR($B$5="All domains",$B$5=C171),C171&lt;&gt;"legal",OR(D171="Partner or monitor",D171="Deprioritize")),E171,NA())</x:f>
        <x:v>0</x:v>
      </x:c>
      <x:c r="O171" s="67" t="n">
        <x:f>IF(AND(OR($B$5="All domains",$B$5=C171),C171&lt;&gt;"legal",OR(D171="Partner or monitor",D171="Deprioritize")),F171,NA())</x:f>
        <x:v>10</x:v>
      </x:c>
    </x:row>
    <x:row r="172">
      <x:c r="A172" s="21" t="str">
        <x:f>'Task Matrix'!B142</x:f>
        <x:v>physical_sciences/ketcher_smiles_reproduction</x:v>
      </x:c>
      <x:c r="B172" s="21" t="str">
        <x:f>'Task Matrix'!C142</x:f>
        <x:v>Ketcher SMILES Reproduction</x:v>
      </x:c>
      <x:c r="C172" s="21" t="str">
        <x:f>'Task Matrix'!D142</x:f>
        <x:v>physical_sciences</x:v>
      </x:c>
      <x:c r="D172" s="21" t="str">
        <x:f>'Task Matrix'!AK142</x:f>
        <x:v>Deprioritize</x:v>
      </x:c>
      <x:c r="E172" s="66" t="n">
        <x:f>'Task Matrix'!AF142</x:f>
        <x:v>0</x:v>
      </x:c>
      <x:c r="F172" s="67" t="n">
        <x:f>'Task Matrix'!V142</x:f>
        <x:v>10</x:v>
      </x:c>
      <x:c r="G172" s="67" t="n">
        <x:f>'Task Matrix'!Y142</x:f>
        <x:v>52</x:v>
      </x:c>
      <x:c r="H172" s="67" t="e">
        <x:f>IF(AND(OR($B$5="All domains",$B$5=C172),C172="legal"),E172,NA())</x:f>
        <x:v>#N/A</x:v>
      </x:c>
      <x:c r="I172" s="67" t="e">
        <x:f>IF(AND(OR($B$5="All domains",$B$5=C172),C172="legal"),F172,NA())</x:f>
        <x:v>#N/A</x:v>
      </x:c>
      <x:c r="J172" s="67" t="e">
        <x:f>IF(AND(OR($B$5="All domains",$B$5=C172),C172&lt;&gt;"legal",D172="Build now"),E172,NA())</x:f>
        <x:v>#N/A</x:v>
      </x:c>
      <x:c r="K172" s="67" t="e">
        <x:f>IF(AND(OR($B$5="All domains",$B$5=C172),C172&lt;&gt;"legal",D172="Build now"),F172,NA())</x:f>
        <x:v>#N/A</x:v>
      </x:c>
      <x:c r="L172" s="67" t="e">
        <x:f>IF(AND(OR($B$5="All domains",$B$5=C172),C172&lt;&gt;"legal",D172="Validate next"),E172,NA())</x:f>
        <x:v>#N/A</x:v>
      </x:c>
      <x:c r="M172" s="67" t="e">
        <x:f>IF(AND(OR($B$5="All domains",$B$5=C172),C172&lt;&gt;"legal",D172="Validate next"),F172,NA())</x:f>
        <x:v>#N/A</x:v>
      </x:c>
      <x:c r="N172" s="67" t="n">
        <x:f>IF(AND(OR($B$5="All domains",$B$5=C172),C172&lt;&gt;"legal",OR(D172="Partner or monitor",D172="Deprioritize")),E172,NA())</x:f>
        <x:v>0</x:v>
      </x:c>
      <x:c r="O172" s="67" t="n">
        <x:f>IF(AND(OR($B$5="All domains",$B$5=C172),C172&lt;&gt;"legal",OR(D172="Partner or monitor",D172="Deprioritize")),F172,NA())</x:f>
        <x:v>10</x:v>
      </x:c>
    </x:row>
    <x:row r="173">
      <x:c r="A173" s="21" t="str">
        <x:f>'Task Matrix'!B143</x:f>
        <x:v>engineering/pcb_layout_kicad_1</x:v>
      </x:c>
      <x:c r="B173" s="21" t="str">
        <x:f>'Task Matrix'!C143</x:f>
        <x:v>Mini Encabulator KiCad PCB Layout</x:v>
      </x:c>
      <x:c r="C173" s="21" t="str">
        <x:f>'Task Matrix'!D143</x:f>
        <x:v>engineering</x:v>
      </x:c>
      <x:c r="D173" s="21" t="str">
        <x:f>'Task Matrix'!AK143</x:f>
        <x:v>Deprioritize</x:v>
      </x:c>
      <x:c r="E173" s="66" t="n">
        <x:f>'Task Matrix'!AF143</x:f>
        <x:v>0</x:v>
      </x:c>
      <x:c r="F173" s="67" t="n">
        <x:f>'Task Matrix'!V143</x:f>
        <x:v>10</x:v>
      </x:c>
      <x:c r="G173" s="67" t="n">
        <x:f>'Task Matrix'!Y143</x:f>
        <x:v>52</x:v>
      </x:c>
      <x:c r="H173" s="67" t="e">
        <x:f>IF(AND(OR($B$5="All domains",$B$5=C173),C173="legal"),E173,NA())</x:f>
        <x:v>#N/A</x:v>
      </x:c>
      <x:c r="I173" s="67" t="e">
        <x:f>IF(AND(OR($B$5="All domains",$B$5=C173),C173="legal"),F173,NA())</x:f>
        <x:v>#N/A</x:v>
      </x:c>
      <x:c r="J173" s="67" t="e">
        <x:f>IF(AND(OR($B$5="All domains",$B$5=C173),C173&lt;&gt;"legal",D173="Build now"),E173,NA())</x:f>
        <x:v>#N/A</x:v>
      </x:c>
      <x:c r="K173" s="67" t="e">
        <x:f>IF(AND(OR($B$5="All domains",$B$5=C173),C173&lt;&gt;"legal",D173="Build now"),F173,NA())</x:f>
        <x:v>#N/A</x:v>
      </x:c>
      <x:c r="L173" s="67" t="e">
        <x:f>IF(AND(OR($B$5="All domains",$B$5=C173),C173&lt;&gt;"legal",D173="Validate next"),E173,NA())</x:f>
        <x:v>#N/A</x:v>
      </x:c>
      <x:c r="M173" s="67" t="e">
        <x:f>IF(AND(OR($B$5="All domains",$B$5=C173),C173&lt;&gt;"legal",D173="Validate next"),F173,NA())</x:f>
        <x:v>#N/A</x:v>
      </x:c>
      <x:c r="N173" s="67" t="n">
        <x:f>IF(AND(OR($B$5="All domains",$B$5=C173),C173&lt;&gt;"legal",OR(D173="Partner or monitor",D173="Deprioritize")),E173,NA())</x:f>
        <x:v>0</x:v>
      </x:c>
      <x:c r="O173" s="67" t="n">
        <x:f>IF(AND(OR($B$5="All domains",$B$5=C173),C173&lt;&gt;"legal",OR(D173="Partner or monitor",D173="Deprioritize")),F173,NA())</x:f>
        <x:v>10</x:v>
      </x:c>
    </x:row>
    <x:row r="174">
      <x:c r="A174" s="21" t="str">
        <x:f>'Task Matrix'!B144</x:f>
        <x:v>engineering/gcode</x:v>
      </x:c>
      <x:c r="B174" s="21" t="str">
        <x:f>'Task Matrix'!C144</x:f>
        <x:v>gcode</x:v>
      </x:c>
      <x:c r="C174" s="21" t="str">
        <x:f>'Task Matrix'!D144</x:f>
        <x:v>engineering</x:v>
      </x:c>
      <x:c r="D174" s="21" t="str">
        <x:f>'Task Matrix'!AK144</x:f>
        <x:v>Deprioritize</x:v>
      </x:c>
      <x:c r="E174" s="66" t="n">
        <x:f>'Task Matrix'!AF144</x:f>
        <x:v>0</x:v>
      </x:c>
      <x:c r="F174" s="67" t="n">
        <x:f>'Task Matrix'!V144</x:f>
        <x:v>10</x:v>
      </x:c>
      <x:c r="G174" s="67" t="n">
        <x:f>'Task Matrix'!Y144</x:f>
        <x:v>52</x:v>
      </x:c>
      <x:c r="H174" s="67" t="e">
        <x:f>IF(AND(OR($B$5="All domains",$B$5=C174),C174="legal"),E174,NA())</x:f>
        <x:v>#N/A</x:v>
      </x:c>
      <x:c r="I174" s="67" t="e">
        <x:f>IF(AND(OR($B$5="All domains",$B$5=C174),C174="legal"),F174,NA())</x:f>
        <x:v>#N/A</x:v>
      </x:c>
      <x:c r="J174" s="67" t="e">
        <x:f>IF(AND(OR($B$5="All domains",$B$5=C174),C174&lt;&gt;"legal",D174="Build now"),E174,NA())</x:f>
        <x:v>#N/A</x:v>
      </x:c>
      <x:c r="K174" s="67" t="e">
        <x:f>IF(AND(OR($B$5="All domains",$B$5=C174),C174&lt;&gt;"legal",D174="Build now"),F174,NA())</x:f>
        <x:v>#N/A</x:v>
      </x:c>
      <x:c r="L174" s="67" t="e">
        <x:f>IF(AND(OR($B$5="All domains",$B$5=C174),C174&lt;&gt;"legal",D174="Validate next"),E174,NA())</x:f>
        <x:v>#N/A</x:v>
      </x:c>
      <x:c r="M174" s="67" t="e">
        <x:f>IF(AND(OR($B$5="All domains",$B$5=C174),C174&lt;&gt;"legal",D174="Validate next"),F174,NA())</x:f>
        <x:v>#N/A</x:v>
      </x:c>
      <x:c r="N174" s="67" t="n">
        <x:f>IF(AND(OR($B$5="All domains",$B$5=C174),C174&lt;&gt;"legal",OR(D174="Partner or monitor",D174="Deprioritize")),E174,NA())</x:f>
        <x:v>0</x:v>
      </x:c>
      <x:c r="O174" s="67" t="n">
        <x:f>IF(AND(OR($B$5="All domains",$B$5=C174),C174&lt;&gt;"legal",OR(D174="Partner or monitor",D174="Deprioritize")),F174,NA())</x:f>
        <x:v>10</x:v>
      </x:c>
    </x:row>
    <x:row r="175">
      <x:c r="A175" s="21" t="str">
        <x:f>'Task Matrix'!B145</x:f>
        <x:v>engineering/cailian_road_highway_alignment_2</x:v>
      </x:c>
      <x:c r="B175" s="21" t="str">
        <x:f>'Task Matrix'!C145</x:f>
        <x:v>Cailian Road Highway Alignment</x:v>
      </x:c>
      <x:c r="C175" s="21" t="str">
        <x:f>'Task Matrix'!D145</x:f>
        <x:v>engineering</x:v>
      </x:c>
      <x:c r="D175" s="21" t="str">
        <x:f>'Task Matrix'!AK145</x:f>
        <x:v>Deprioritize</x:v>
      </x:c>
      <x:c r="E175" s="66" t="n">
        <x:f>'Task Matrix'!AF145</x:f>
        <x:v>0</x:v>
      </x:c>
      <x:c r="F175" s="67" t="n">
        <x:f>'Task Matrix'!V145</x:f>
        <x:v>10</x:v>
      </x:c>
      <x:c r="G175" s="67" t="n">
        <x:f>'Task Matrix'!Y145</x:f>
        <x:v>56</x:v>
      </x:c>
      <x:c r="H175" s="67" t="e">
        <x:f>IF(AND(OR($B$5="All domains",$B$5=C175),C175="legal"),E175,NA())</x:f>
        <x:v>#N/A</x:v>
      </x:c>
      <x:c r="I175" s="67" t="e">
        <x:f>IF(AND(OR($B$5="All domains",$B$5=C175),C175="legal"),F175,NA())</x:f>
        <x:v>#N/A</x:v>
      </x:c>
      <x:c r="J175" s="67" t="e">
        <x:f>IF(AND(OR($B$5="All domains",$B$5=C175),C175&lt;&gt;"legal",D175="Build now"),E175,NA())</x:f>
        <x:v>#N/A</x:v>
      </x:c>
      <x:c r="K175" s="67" t="e">
        <x:f>IF(AND(OR($B$5="All domains",$B$5=C175),C175&lt;&gt;"legal",D175="Build now"),F175,NA())</x:f>
        <x:v>#N/A</x:v>
      </x:c>
      <x:c r="L175" s="67" t="e">
        <x:f>IF(AND(OR($B$5="All domains",$B$5=C175),C175&lt;&gt;"legal",D175="Validate next"),E175,NA())</x:f>
        <x:v>#N/A</x:v>
      </x:c>
      <x:c r="M175" s="67" t="e">
        <x:f>IF(AND(OR($B$5="All domains",$B$5=C175),C175&lt;&gt;"legal",D175="Validate next"),F175,NA())</x:f>
        <x:v>#N/A</x:v>
      </x:c>
      <x:c r="N175" s="67" t="n">
        <x:f>IF(AND(OR($B$5="All domains",$B$5=C175),C175&lt;&gt;"legal",OR(D175="Partner or monitor",D175="Deprioritize")),E175,NA())</x:f>
        <x:v>0</x:v>
      </x:c>
      <x:c r="O175" s="67" t="n">
        <x:f>IF(AND(OR($B$5="All domains",$B$5=C175),C175&lt;&gt;"legal",OR(D175="Partner or monitor",D175="Deprioritize")),F175,NA())</x:f>
        <x:v>10</x:v>
      </x:c>
    </x:row>
    <x:row r="176">
      <x:c r="A176" s="21" t="str">
        <x:f>'Task Matrix'!B146</x:f>
        <x:v>visual_media/video_storyboard_001</x:v>
      </x:c>
      <x:c r="B176" s="21" t="str">
        <x:f>'Task Matrix'!C146</x:f>
        <x:v>Pre-Restoration Shot Log: Vintage Animation Remaster</x:v>
      </x:c>
      <x:c r="C176" s="21" t="str">
        <x:f>'Task Matrix'!D146</x:f>
        <x:v>visual_media</x:v>
      </x:c>
      <x:c r="D176" s="21" t="str">
        <x:f>'Task Matrix'!AK146</x:f>
        <x:v>Deprioritize</x:v>
      </x:c>
      <x:c r="E176" s="66" t="n">
        <x:f>'Task Matrix'!AF146</x:f>
        <x:v>0</x:v>
      </x:c>
      <x:c r="F176" s="67" t="n">
        <x:f>'Task Matrix'!V146</x:f>
        <x:v>5</x:v>
      </x:c>
      <x:c r="G176" s="67" t="n">
        <x:f>'Task Matrix'!Y146</x:f>
        <x:v>52</x:v>
      </x:c>
      <x:c r="H176" s="67" t="e">
        <x:f>IF(AND(OR($B$5="All domains",$B$5=C176),C176="legal"),E176,NA())</x:f>
        <x:v>#N/A</x:v>
      </x:c>
      <x:c r="I176" s="67" t="e">
        <x:f>IF(AND(OR($B$5="All domains",$B$5=C176),C176="legal"),F176,NA())</x:f>
        <x:v>#N/A</x:v>
      </x:c>
      <x:c r="J176" s="67" t="e">
        <x:f>IF(AND(OR($B$5="All domains",$B$5=C176),C176&lt;&gt;"legal",D176="Build now"),E176,NA())</x:f>
        <x:v>#N/A</x:v>
      </x:c>
      <x:c r="K176" s="67" t="e">
        <x:f>IF(AND(OR($B$5="All domains",$B$5=C176),C176&lt;&gt;"legal",D176="Build now"),F176,NA())</x:f>
        <x:v>#N/A</x:v>
      </x:c>
      <x:c r="L176" s="67" t="e">
        <x:f>IF(AND(OR($B$5="All domains",$B$5=C176),C176&lt;&gt;"legal",D176="Validate next"),E176,NA())</x:f>
        <x:v>#N/A</x:v>
      </x:c>
      <x:c r="M176" s="67" t="e">
        <x:f>IF(AND(OR($B$5="All domains",$B$5=C176),C176&lt;&gt;"legal",D176="Validate next"),F176,NA())</x:f>
        <x:v>#N/A</x:v>
      </x:c>
      <x:c r="N176" s="67" t="n">
        <x:f>IF(AND(OR($B$5="All domains",$B$5=C176),C176&lt;&gt;"legal",OR(D176="Partner or monitor",D176="Deprioritize")),E176,NA())</x:f>
        <x:v>0</x:v>
      </x:c>
      <x:c r="O176" s="67" t="n">
        <x:f>IF(AND(OR($B$5="All domains",$B$5=C176),C176&lt;&gt;"legal",OR(D176="Partner or monitor",D176="Deprioritize")),F176,NA())</x:f>
        <x:v>5</x:v>
      </x:c>
    </x:row>
    <x:row r="177">
      <x:c r="A177" s="21" t="str">
        <x:f>'Task Matrix'!B147</x:f>
        <x:v>visual_media/uv_reproduction</x:v>
      </x:c>
      <x:c r="B177" s="21" t="str">
        <x:f>'Task Matrix'!C147</x:f>
        <x:v>UV Reproduction</x:v>
      </x:c>
      <x:c r="C177" s="21" t="str">
        <x:f>'Task Matrix'!D147</x:f>
        <x:v>visual_media</x:v>
      </x:c>
      <x:c r="D177" s="21" t="str">
        <x:f>'Task Matrix'!AK147</x:f>
        <x:v>Deprioritize</x:v>
      </x:c>
      <x:c r="E177" s="66" t="n">
        <x:f>'Task Matrix'!AF147</x:f>
        <x:v>0</x:v>
      </x:c>
      <x:c r="F177" s="67" t="n">
        <x:f>'Task Matrix'!V147</x:f>
        <x:v>10</x:v>
      </x:c>
      <x:c r="G177" s="67" t="n">
        <x:f>'Task Matrix'!Y147</x:f>
        <x:v>52</x:v>
      </x:c>
      <x:c r="H177" s="67" t="e">
        <x:f>IF(AND(OR($B$5="All domains",$B$5=C177),C177="legal"),E177,NA())</x:f>
        <x:v>#N/A</x:v>
      </x:c>
      <x:c r="I177" s="67" t="e">
        <x:f>IF(AND(OR($B$5="All domains",$B$5=C177),C177="legal"),F177,NA())</x:f>
        <x:v>#N/A</x:v>
      </x:c>
      <x:c r="J177" s="67" t="e">
        <x:f>IF(AND(OR($B$5="All domains",$B$5=C177),C177&lt;&gt;"legal",D177="Build now"),E177,NA())</x:f>
        <x:v>#N/A</x:v>
      </x:c>
      <x:c r="K177" s="67" t="e">
        <x:f>IF(AND(OR($B$5="All domains",$B$5=C177),C177&lt;&gt;"legal",D177="Build now"),F177,NA())</x:f>
        <x:v>#N/A</x:v>
      </x:c>
      <x:c r="L177" s="67" t="e">
        <x:f>IF(AND(OR($B$5="All domains",$B$5=C177),C177&lt;&gt;"legal",D177="Validate next"),E177,NA())</x:f>
        <x:v>#N/A</x:v>
      </x:c>
      <x:c r="M177" s="67" t="e">
        <x:f>IF(AND(OR($B$5="All domains",$B$5=C177),C177&lt;&gt;"legal",D177="Validate next"),F177,NA())</x:f>
        <x:v>#N/A</x:v>
      </x:c>
      <x:c r="N177" s="67" t="n">
        <x:f>IF(AND(OR($B$5="All domains",$B$5=C177),C177&lt;&gt;"legal",OR(D177="Partner or monitor",D177="Deprioritize")),E177,NA())</x:f>
        <x:v>0</x:v>
      </x:c>
      <x:c r="O177" s="67" t="n">
        <x:f>IF(AND(OR($B$5="All domains",$B$5=C177),C177&lt;&gt;"legal",OR(D177="Partner or monitor",D177="Deprioritize")),F177,NA())</x:f>
        <x:v>10</x:v>
      </x:c>
    </x:row>
    <x:row r="178">
      <x:c r="A178" s="21" t="str">
        <x:f>'Task Matrix'!B148</x:f>
        <x:v>visual_media/skeletal_animation_reproduction</x:v>
      </x:c>
      <x:c r="B178" s="21" t="str">
        <x:f>'Task Matrix'!C148</x:f>
        <x:v>Skeletal Animation Reproduction</x:v>
      </x:c>
      <x:c r="C178" s="21" t="str">
        <x:f>'Task Matrix'!D148</x:f>
        <x:v>visual_media</x:v>
      </x:c>
      <x:c r="D178" s="21" t="str">
        <x:f>'Task Matrix'!AK148</x:f>
        <x:v>Deprioritize</x:v>
      </x:c>
      <x:c r="E178" s="66" t="n">
        <x:f>'Task Matrix'!AF148</x:f>
        <x:v>0</x:v>
      </x:c>
      <x:c r="F178" s="67" t="n">
        <x:f>'Task Matrix'!V148</x:f>
        <x:v>10</x:v>
      </x:c>
      <x:c r="G178" s="67" t="n">
        <x:f>'Task Matrix'!Y148</x:f>
        <x:v>52</x:v>
      </x:c>
      <x:c r="H178" s="67" t="e">
        <x:f>IF(AND(OR($B$5="All domains",$B$5=C178),C178="legal"),E178,NA())</x:f>
        <x:v>#N/A</x:v>
      </x:c>
      <x:c r="I178" s="67" t="e">
        <x:f>IF(AND(OR($B$5="All domains",$B$5=C178),C178="legal"),F178,NA())</x:f>
        <x:v>#N/A</x:v>
      </x:c>
      <x:c r="J178" s="67" t="e">
        <x:f>IF(AND(OR($B$5="All domains",$B$5=C178),C178&lt;&gt;"legal",D178="Build now"),E178,NA())</x:f>
        <x:v>#N/A</x:v>
      </x:c>
      <x:c r="K178" s="67" t="e">
        <x:f>IF(AND(OR($B$5="All domains",$B$5=C178),C178&lt;&gt;"legal",D178="Build now"),F178,NA())</x:f>
        <x:v>#N/A</x:v>
      </x:c>
      <x:c r="L178" s="67" t="e">
        <x:f>IF(AND(OR($B$5="All domains",$B$5=C178),C178&lt;&gt;"legal",D178="Validate next"),E178,NA())</x:f>
        <x:v>#N/A</x:v>
      </x:c>
      <x:c r="M178" s="67" t="e">
        <x:f>IF(AND(OR($B$5="All domains",$B$5=C178),C178&lt;&gt;"legal",D178="Validate next"),F178,NA())</x:f>
        <x:v>#N/A</x:v>
      </x:c>
      <x:c r="N178" s="67" t="n">
        <x:f>IF(AND(OR($B$5="All domains",$B$5=C178),C178&lt;&gt;"legal",OR(D178="Partner or monitor",D178="Deprioritize")),E178,NA())</x:f>
        <x:v>0</x:v>
      </x:c>
      <x:c r="O178" s="67" t="n">
        <x:f>IF(AND(OR($B$5="All domains",$B$5=C178),C178&lt;&gt;"legal",OR(D178="Partner or monitor",D178="Deprioritize")),F178,NA())</x:f>
        <x:v>10</x:v>
      </x:c>
    </x:row>
    <x:row r="179">
      <x:c r="A179" s="21" t="str">
        <x:f>'Task Matrix'!B149</x:f>
        <x:v>engineering/Analog_Active</x:v>
      </x:c>
      <x:c r="B179" s="21" t="str">
        <x:f>'Task Matrix'!C149</x:f>
        <x:v>Analog Active</x:v>
      </x:c>
      <x:c r="C179" s="21" t="str">
        <x:f>'Task Matrix'!D149</x:f>
        <x:v>engineering</x:v>
      </x:c>
      <x:c r="D179" s="21" t="str">
        <x:f>'Task Matrix'!AK149</x:f>
        <x:v>Deprioritize</x:v>
      </x:c>
      <x:c r="E179" s="66" t="n">
        <x:f>'Task Matrix'!AF149</x:f>
        <x:v>0</x:v>
      </x:c>
      <x:c r="F179" s="67" t="n">
        <x:f>'Task Matrix'!V149</x:f>
        <x:v>5</x:v>
      </x:c>
      <x:c r="G179" s="67" t="n">
        <x:f>'Task Matrix'!Y149</x:f>
        <x:v>52</x:v>
      </x:c>
      <x:c r="H179" s="67" t="e">
        <x:f>IF(AND(OR($B$5="All domains",$B$5=C179),C179="legal"),E179,NA())</x:f>
        <x:v>#N/A</x:v>
      </x:c>
      <x:c r="I179" s="67" t="e">
        <x:f>IF(AND(OR($B$5="All domains",$B$5=C179),C179="legal"),F179,NA())</x:f>
        <x:v>#N/A</x:v>
      </x:c>
      <x:c r="J179" s="67" t="e">
        <x:f>IF(AND(OR($B$5="All domains",$B$5=C179),C179&lt;&gt;"legal",D179="Build now"),E179,NA())</x:f>
        <x:v>#N/A</x:v>
      </x:c>
      <x:c r="K179" s="67" t="e">
        <x:f>IF(AND(OR($B$5="All domains",$B$5=C179),C179&lt;&gt;"legal",D179="Build now"),F179,NA())</x:f>
        <x:v>#N/A</x:v>
      </x:c>
      <x:c r="L179" s="67" t="e">
        <x:f>IF(AND(OR($B$5="All domains",$B$5=C179),C179&lt;&gt;"legal",D179="Validate next"),E179,NA())</x:f>
        <x:v>#N/A</x:v>
      </x:c>
      <x:c r="M179" s="67" t="e">
        <x:f>IF(AND(OR($B$5="All domains",$B$5=C179),C179&lt;&gt;"legal",D179="Validate next"),F179,NA())</x:f>
        <x:v>#N/A</x:v>
      </x:c>
      <x:c r="N179" s="67" t="n">
        <x:f>IF(AND(OR($B$5="All domains",$B$5=C179),C179&lt;&gt;"legal",OR(D179="Partner or monitor",D179="Deprioritize")),E179,NA())</x:f>
        <x:v>0</x:v>
      </x:c>
      <x:c r="O179" s="67" t="n">
        <x:f>IF(AND(OR($B$5="All domains",$B$5=C179),C179&lt;&gt;"legal",OR(D179="Partner or monitor",D179="Deprioritize")),F179,NA())</x:f>
        <x:v>5</x:v>
      </x:c>
    </x:row>
    <x:row r="180">
      <x:c r="A180" s="21" t="str">
        <x:f>'Task Matrix'!B150</x:f>
        <x:v>visual_media/project_migration</x:v>
      </x:c>
      <x:c r="B180" s="21" t="str">
        <x:f>'Task Matrix'!C150</x:f>
        <x:v>Cubase Project Migration</x:v>
      </x:c>
      <x:c r="C180" s="21" t="str">
        <x:f>'Task Matrix'!D150</x:f>
        <x:v>visual_media</x:v>
      </x:c>
      <x:c r="D180" s="21" t="str">
        <x:f>'Task Matrix'!AK150</x:f>
        <x:v>Deprioritize</x:v>
      </x:c>
      <x:c r="E180" s="66" t="n">
        <x:f>'Task Matrix'!AF150</x:f>
        <x:v>0</x:v>
      </x:c>
      <x:c r="F180" s="67" t="n">
        <x:f>'Task Matrix'!V150</x:f>
        <x:v>10</x:v>
      </x:c>
      <x:c r="G180" s="67" t="n">
        <x:f>'Task Matrix'!Y150</x:f>
        <x:v>52</x:v>
      </x:c>
      <x:c r="H180" s="67" t="e">
        <x:f>IF(AND(OR($B$5="All domains",$B$5=C180),C180="legal"),E180,NA())</x:f>
        <x:v>#N/A</x:v>
      </x:c>
      <x:c r="I180" s="67" t="e">
        <x:f>IF(AND(OR($B$5="All domains",$B$5=C180),C180="legal"),F180,NA())</x:f>
        <x:v>#N/A</x:v>
      </x:c>
      <x:c r="J180" s="67" t="e">
        <x:f>IF(AND(OR($B$5="All domains",$B$5=C180),C180&lt;&gt;"legal",D180="Build now"),E180,NA())</x:f>
        <x:v>#N/A</x:v>
      </x:c>
      <x:c r="K180" s="67" t="e">
        <x:f>IF(AND(OR($B$5="All domains",$B$5=C180),C180&lt;&gt;"legal",D180="Build now"),F180,NA())</x:f>
        <x:v>#N/A</x:v>
      </x:c>
      <x:c r="L180" s="67" t="e">
        <x:f>IF(AND(OR($B$5="All domains",$B$5=C180),C180&lt;&gt;"legal",D180="Validate next"),E180,NA())</x:f>
        <x:v>#N/A</x:v>
      </x:c>
      <x:c r="M180" s="67" t="e">
        <x:f>IF(AND(OR($B$5="All domains",$B$5=C180),C180&lt;&gt;"legal",D180="Validate next"),F180,NA())</x:f>
        <x:v>#N/A</x:v>
      </x:c>
      <x:c r="N180" s="67" t="n">
        <x:f>IF(AND(OR($B$5="All domains",$B$5=C180),C180&lt;&gt;"legal",OR(D180="Partner or monitor",D180="Deprioritize")),E180,NA())</x:f>
        <x:v>0</x:v>
      </x:c>
      <x:c r="O180" s="67" t="n">
        <x:f>IF(AND(OR($B$5="All domains",$B$5=C180),C180&lt;&gt;"legal",OR(D180="Partner or monitor",D180="Deprioritize")),F180,NA())</x:f>
        <x:v>10</x:v>
      </x:c>
    </x:row>
    <x:row r="181">
      <x:c r="A181" s="21" t="str">
        <x:f>'Task Matrix'!B151</x:f>
        <x:v>other/aerobics_wc2026_portugal_trio_difficulty_scoring</x:v>
      </x:c>
      <x:c r="B181" s="21" t="str">
        <x:f>'Task Matrix'!C151</x:f>
        <x:v>Aerobics World Cup Trio Difficulty Scoring</x:v>
      </x:c>
      <x:c r="C181" s="21" t="str">
        <x:f>'Task Matrix'!D151</x:f>
        <x:v>other</x:v>
      </x:c>
      <x:c r="D181" s="21" t="str">
        <x:f>'Task Matrix'!AK151</x:f>
        <x:v>Deprioritize</x:v>
      </x:c>
      <x:c r="E181" s="66" t="n">
        <x:f>'Task Matrix'!AF151</x:f>
        <x:v>0</x:v>
      </x:c>
      <x:c r="F181" s="67" t="n">
        <x:f>'Task Matrix'!V151</x:f>
        <x:v>10</x:v>
      </x:c>
      <x:c r="G181" s="67" t="n">
        <x:f>'Task Matrix'!Y151</x:f>
        <x:v>52</x:v>
      </x:c>
      <x:c r="H181" s="67" t="e">
        <x:f>IF(AND(OR($B$5="All domains",$B$5=C181),C181="legal"),E181,NA())</x:f>
        <x:v>#N/A</x:v>
      </x:c>
      <x:c r="I181" s="67" t="e">
        <x:f>IF(AND(OR($B$5="All domains",$B$5=C181),C181="legal"),F181,NA())</x:f>
        <x:v>#N/A</x:v>
      </x:c>
      <x:c r="J181" s="67" t="e">
        <x:f>IF(AND(OR($B$5="All domains",$B$5=C181),C181&lt;&gt;"legal",D181="Build now"),E181,NA())</x:f>
        <x:v>#N/A</x:v>
      </x:c>
      <x:c r="K181" s="67" t="e">
        <x:f>IF(AND(OR($B$5="All domains",$B$5=C181),C181&lt;&gt;"legal",D181="Build now"),F181,NA())</x:f>
        <x:v>#N/A</x:v>
      </x:c>
      <x:c r="L181" s="67" t="e">
        <x:f>IF(AND(OR($B$5="All domains",$B$5=C181),C181&lt;&gt;"legal",D181="Validate next"),E181,NA())</x:f>
        <x:v>#N/A</x:v>
      </x:c>
      <x:c r="M181" s="67" t="e">
        <x:f>IF(AND(OR($B$5="All domains",$B$5=C181),C181&lt;&gt;"legal",D181="Validate next"),F181,NA())</x:f>
        <x:v>#N/A</x:v>
      </x:c>
      <x:c r="N181" s="67" t="n">
        <x:f>IF(AND(OR($B$5="All domains",$B$5=C181),C181&lt;&gt;"legal",OR(D181="Partner or monitor",D181="Deprioritize")),E181,NA())</x:f>
        <x:v>0</x:v>
      </x:c>
      <x:c r="O181" s="67" t="n">
        <x:f>IF(AND(OR($B$5="All domains",$B$5=C181),C181&lt;&gt;"legal",OR(D181="Partner or monitor",D181="Deprioritize")),F181,NA())</x:f>
        <x:v>10</x:v>
      </x:c>
    </x:row>
    <x:row r="182">
      <x:c r="A182" s="21" t="str">
        <x:f>'Task Matrix'!B152</x:f>
        <x:v>visual_media/human_mesh_animation_reproduction</x:v>
      </x:c>
      <x:c r="B182" s="21" t="str">
        <x:f>'Task Matrix'!C152</x:f>
        <x:v>Human Mesh Animation Reproduction</x:v>
      </x:c>
      <x:c r="C182" s="21" t="str">
        <x:f>'Task Matrix'!D152</x:f>
        <x:v>visual_media</x:v>
      </x:c>
      <x:c r="D182" s="21" t="str">
        <x:f>'Task Matrix'!AK152</x:f>
        <x:v>Deprioritize</x:v>
      </x:c>
      <x:c r="E182" s="66" t="n">
        <x:f>'Task Matrix'!AF152</x:f>
        <x:v>0</x:v>
      </x:c>
      <x:c r="F182" s="67" t="n">
        <x:f>'Task Matrix'!V152</x:f>
        <x:v>10</x:v>
      </x:c>
      <x:c r="G182" s="67" t="n">
        <x:f>'Task Matrix'!Y152</x:f>
        <x:v>52</x:v>
      </x:c>
      <x:c r="H182" s="67" t="e">
        <x:f>IF(AND(OR($B$5="All domains",$B$5=C182),C182="legal"),E182,NA())</x:f>
        <x:v>#N/A</x:v>
      </x:c>
      <x:c r="I182" s="67" t="e">
        <x:f>IF(AND(OR($B$5="All domains",$B$5=C182),C182="legal"),F182,NA())</x:f>
        <x:v>#N/A</x:v>
      </x:c>
      <x:c r="J182" s="67" t="e">
        <x:f>IF(AND(OR($B$5="All domains",$B$5=C182),C182&lt;&gt;"legal",D182="Build now"),E182,NA())</x:f>
        <x:v>#N/A</x:v>
      </x:c>
      <x:c r="K182" s="67" t="e">
        <x:f>IF(AND(OR($B$5="All domains",$B$5=C182),C182&lt;&gt;"legal",D182="Build now"),F182,NA())</x:f>
        <x:v>#N/A</x:v>
      </x:c>
      <x:c r="L182" s="67" t="e">
        <x:f>IF(AND(OR($B$5="All domains",$B$5=C182),C182&lt;&gt;"legal",D182="Validate next"),E182,NA())</x:f>
        <x:v>#N/A</x:v>
      </x:c>
      <x:c r="M182" s="67" t="e">
        <x:f>IF(AND(OR($B$5="All domains",$B$5=C182),C182&lt;&gt;"legal",D182="Validate next"),F182,NA())</x:f>
        <x:v>#N/A</x:v>
      </x:c>
      <x:c r="N182" s="67" t="n">
        <x:f>IF(AND(OR($B$5="All domains",$B$5=C182),C182&lt;&gt;"legal",OR(D182="Partner or monitor",D182="Deprioritize")),E182,NA())</x:f>
        <x:v>0</x:v>
      </x:c>
      <x:c r="O182" s="67" t="n">
        <x:f>IF(AND(OR($B$5="All domains",$B$5=C182),C182&lt;&gt;"legal",OR(D182="Partner or monitor",D182="Deprioritize")),F182,NA())</x:f>
        <x:v>10</x:v>
      </x:c>
    </x:row>
    <x:row r="183">
      <x:c r="A183" s="21" t="str">
        <x:f>'Task Matrix'!B153</x:f>
        <x:v>visual_media/chroma_key_from_reference</x:v>
      </x:c>
      <x:c r="B183" s="21" t="str">
        <x:f>'Task Matrix'!C153</x:f>
        <x:v>chroma_key_from_reference</x:v>
      </x:c>
      <x:c r="C183" s="21" t="str">
        <x:f>'Task Matrix'!D153</x:f>
        <x:v>visual_media</x:v>
      </x:c>
      <x:c r="D183" s="21" t="str">
        <x:f>'Task Matrix'!AK153</x:f>
        <x:v>Deprioritize</x:v>
      </x:c>
      <x:c r="E183" s="66" t="n">
        <x:f>'Task Matrix'!AF153</x:f>
        <x:v>0</x:v>
      </x:c>
      <x:c r="F183" s="67" t="n">
        <x:f>'Task Matrix'!V153</x:f>
        <x:v>10</x:v>
      </x:c>
      <x:c r="G183" s="67" t="n">
        <x:f>'Task Matrix'!Y153</x:f>
        <x:v>52</x:v>
      </x:c>
      <x:c r="H183" s="67" t="e">
        <x:f>IF(AND(OR($B$5="All domains",$B$5=C183),C183="legal"),E183,NA())</x:f>
        <x:v>#N/A</x:v>
      </x:c>
      <x:c r="I183" s="67" t="e">
        <x:f>IF(AND(OR($B$5="All domains",$B$5=C183),C183="legal"),F183,NA())</x:f>
        <x:v>#N/A</x:v>
      </x:c>
      <x:c r="J183" s="67" t="e">
        <x:f>IF(AND(OR($B$5="All domains",$B$5=C183),C183&lt;&gt;"legal",D183="Build now"),E183,NA())</x:f>
        <x:v>#N/A</x:v>
      </x:c>
      <x:c r="K183" s="67" t="e">
        <x:f>IF(AND(OR($B$5="All domains",$B$5=C183),C183&lt;&gt;"legal",D183="Build now"),F183,NA())</x:f>
        <x:v>#N/A</x:v>
      </x:c>
      <x:c r="L183" s="67" t="e">
        <x:f>IF(AND(OR($B$5="All domains",$B$5=C183),C183&lt;&gt;"legal",D183="Validate next"),E183,NA())</x:f>
        <x:v>#N/A</x:v>
      </x:c>
      <x:c r="M183" s="67" t="e">
        <x:f>IF(AND(OR($B$5="All domains",$B$5=C183),C183&lt;&gt;"legal",D183="Validate next"),F183,NA())</x:f>
        <x:v>#N/A</x:v>
      </x:c>
      <x:c r="N183" s="67" t="n">
        <x:f>IF(AND(OR($B$5="All domains",$B$5=C183),C183&lt;&gt;"legal",OR(D183="Partner or monitor",D183="Deprioritize")),E183,NA())</x:f>
        <x:v>0</x:v>
      </x:c>
      <x:c r="O183" s="67" t="n">
        <x:f>IF(AND(OR($B$5="All domains",$B$5=C183),C183&lt;&gt;"legal",OR(D183="Partner or monitor",D183="Deprioritize")),F183,NA())</x:f>
        <x:v>10</x:v>
      </x:c>
    </x:row>
    <x:row r="184">
      <x:c r="A184" s="21" t="str">
        <x:f>'Task Matrix'!B154</x:f>
        <x:v>visual_media/butterfly_flap_animation</x:v>
      </x:c>
      <x:c r="B184" s="21" t="str">
        <x:f>'Task Matrix'!C154</x:f>
        <x:v>butterfly_flap_animation</x:v>
      </x:c>
      <x:c r="C184" s="21" t="str">
        <x:f>'Task Matrix'!D154</x:f>
        <x:v>visual_media</x:v>
      </x:c>
      <x:c r="D184" s="21" t="str">
        <x:f>'Task Matrix'!AK154</x:f>
        <x:v>Deprioritize</x:v>
      </x:c>
      <x:c r="E184" s="66" t="n">
        <x:f>'Task Matrix'!AF154</x:f>
        <x:v>0</x:v>
      </x:c>
      <x:c r="F184" s="67" t="n">
        <x:f>'Task Matrix'!V154</x:f>
        <x:v>10</x:v>
      </x:c>
      <x:c r="G184" s="67" t="n">
        <x:f>'Task Matrix'!Y154</x:f>
        <x:v>52</x:v>
      </x:c>
      <x:c r="H184" s="67" t="e">
        <x:f>IF(AND(OR($B$5="All domains",$B$5=C184),C184="legal"),E184,NA())</x:f>
        <x:v>#N/A</x:v>
      </x:c>
      <x:c r="I184" s="67" t="e">
        <x:f>IF(AND(OR($B$5="All domains",$B$5=C184),C184="legal"),F184,NA())</x:f>
        <x:v>#N/A</x:v>
      </x:c>
      <x:c r="J184" s="67" t="e">
        <x:f>IF(AND(OR($B$5="All domains",$B$5=C184),C184&lt;&gt;"legal",D184="Build now"),E184,NA())</x:f>
        <x:v>#N/A</x:v>
      </x:c>
      <x:c r="K184" s="67" t="e">
        <x:f>IF(AND(OR($B$5="All domains",$B$5=C184),C184&lt;&gt;"legal",D184="Build now"),F184,NA())</x:f>
        <x:v>#N/A</x:v>
      </x:c>
      <x:c r="L184" s="67" t="e">
        <x:f>IF(AND(OR($B$5="All domains",$B$5=C184),C184&lt;&gt;"legal",D184="Validate next"),E184,NA())</x:f>
        <x:v>#N/A</x:v>
      </x:c>
      <x:c r="M184" s="67" t="e">
        <x:f>IF(AND(OR($B$5="All domains",$B$5=C184),C184&lt;&gt;"legal",D184="Validate next"),F184,NA())</x:f>
        <x:v>#N/A</x:v>
      </x:c>
      <x:c r="N184" s="67" t="n">
        <x:f>IF(AND(OR($B$5="All domains",$B$5=C184),C184&lt;&gt;"legal",OR(D184="Partner or monitor",D184="Deprioritize")),E184,NA())</x:f>
        <x:v>0</x:v>
      </x:c>
      <x:c r="O184" s="67" t="n">
        <x:f>IF(AND(OR($B$5="All domains",$B$5=C184),C184&lt;&gt;"legal",OR(D184="Partner or monitor",D184="Deprioritize")),F184,NA())</x:f>
        <x:v>10</x:v>
      </x:c>
    </x:row>
    <x:row r="185">
      <x:c r="A185" s="21" t="str">
        <x:f>'Task Matrix'!B155</x:f>
        <x:v>business_finance/equity_research_summary</x:v>
      </x:c>
      <x:c r="B185" s="21" t="str">
        <x:f>'Task Matrix'!C155</x:f>
        <x:v>Equity Research Summary</x:v>
      </x:c>
      <x:c r="C185" s="21" t="str">
        <x:f>'Task Matrix'!D155</x:f>
        <x:v>business_finance</x:v>
      </x:c>
      <x:c r="D185" s="21" t="str">
        <x:f>'Task Matrix'!AK155</x:f>
        <x:v>Deprioritize</x:v>
      </x:c>
      <x:c r="E185" s="66" t="n">
        <x:f>'Task Matrix'!AF155</x:f>
        <x:v>0</x:v>
      </x:c>
      <x:c r="F185" s="67" t="n">
        <x:f>'Task Matrix'!V155</x:f>
        <x:v>10</x:v>
      </x:c>
      <x:c r="G185" s="67" t="n">
        <x:f>'Task Matrix'!Y155</x:f>
        <x:v>44</x:v>
      </x:c>
      <x:c r="H185" s="67" t="e">
        <x:f>IF(AND(OR($B$5="All domains",$B$5=C185),C185="legal"),E185,NA())</x:f>
        <x:v>#N/A</x:v>
      </x:c>
      <x:c r="I185" s="67" t="e">
        <x:f>IF(AND(OR($B$5="All domains",$B$5=C185),C185="legal"),F185,NA())</x:f>
        <x:v>#N/A</x:v>
      </x:c>
      <x:c r="J185" s="67" t="e">
        <x:f>IF(AND(OR($B$5="All domains",$B$5=C185),C185&lt;&gt;"legal",D185="Build now"),E185,NA())</x:f>
        <x:v>#N/A</x:v>
      </x:c>
      <x:c r="K185" s="67" t="e">
        <x:f>IF(AND(OR($B$5="All domains",$B$5=C185),C185&lt;&gt;"legal",D185="Build now"),F185,NA())</x:f>
        <x:v>#N/A</x:v>
      </x:c>
      <x:c r="L185" s="67" t="e">
        <x:f>IF(AND(OR($B$5="All domains",$B$5=C185),C185&lt;&gt;"legal",D185="Validate next"),E185,NA())</x:f>
        <x:v>#N/A</x:v>
      </x:c>
      <x:c r="M185" s="67" t="e">
        <x:f>IF(AND(OR($B$5="All domains",$B$5=C185),C185&lt;&gt;"legal",D185="Validate next"),F185,NA())</x:f>
        <x:v>#N/A</x:v>
      </x:c>
      <x:c r="N185" s="67" t="n">
        <x:f>IF(AND(OR($B$5="All domains",$B$5=C185),C185&lt;&gt;"legal",OR(D185="Partner or monitor",D185="Deprioritize")),E185,NA())</x:f>
        <x:v>0</x:v>
      </x:c>
      <x:c r="O185" s="67" t="n">
        <x:f>IF(AND(OR($B$5="All domains",$B$5=C185),C185&lt;&gt;"legal",OR(D185="Partner or monitor",D185="Deprioritize")),F185,NA())</x:f>
        <x:v>10</x:v>
      </x:c>
    </x:row>
    <x:row r="186">
      <x:c r="A186" s="21" t="str">
        <x:f>'Task Matrix'!B156</x:f>
        <x:v>visual_media/atlas_outpost_graybox_navigation</x:v>
      </x:c>
      <x:c r="B186" s="21" t="str">
        <x:f>'Task Matrix'!C156</x:f>
        <x:v>Atlas Outpost Graybox Navigation</x:v>
      </x:c>
      <x:c r="C186" s="21" t="str">
        <x:f>'Task Matrix'!D156</x:f>
        <x:v>visual_media</x:v>
      </x:c>
      <x:c r="D186" s="21" t="str">
        <x:f>'Task Matrix'!AK156</x:f>
        <x:v>Deprioritize</x:v>
      </x:c>
      <x:c r="E186" s="66" t="n">
        <x:f>'Task Matrix'!AF156</x:f>
        <x:v>0</x:v>
      </x:c>
      <x:c r="F186" s="67" t="n">
        <x:f>'Task Matrix'!V156</x:f>
        <x:v>10</x:v>
      </x:c>
      <x:c r="G186" s="67" t="n">
        <x:f>'Task Matrix'!Y156</x:f>
        <x:v>52</x:v>
      </x:c>
      <x:c r="H186" s="67" t="e">
        <x:f>IF(AND(OR($B$5="All domains",$B$5=C186),C186="legal"),E186,NA())</x:f>
        <x:v>#N/A</x:v>
      </x:c>
      <x:c r="I186" s="67" t="e">
        <x:f>IF(AND(OR($B$5="All domains",$B$5=C186),C186="legal"),F186,NA())</x:f>
        <x:v>#N/A</x:v>
      </x:c>
      <x:c r="J186" s="67" t="e">
        <x:f>IF(AND(OR($B$5="All domains",$B$5=C186),C186&lt;&gt;"legal",D186="Build now"),E186,NA())</x:f>
        <x:v>#N/A</x:v>
      </x:c>
      <x:c r="K186" s="67" t="e">
        <x:f>IF(AND(OR($B$5="All domains",$B$5=C186),C186&lt;&gt;"legal",D186="Build now"),F186,NA())</x:f>
        <x:v>#N/A</x:v>
      </x:c>
      <x:c r="L186" s="67" t="e">
        <x:f>IF(AND(OR($B$5="All domains",$B$5=C186),C186&lt;&gt;"legal",D186="Validate next"),E186,NA())</x:f>
        <x:v>#N/A</x:v>
      </x:c>
      <x:c r="M186" s="67" t="e">
        <x:f>IF(AND(OR($B$5="All domains",$B$5=C186),C186&lt;&gt;"legal",D186="Validate next"),F186,NA())</x:f>
        <x:v>#N/A</x:v>
      </x:c>
      <x:c r="N186" s="67" t="n">
        <x:f>IF(AND(OR($B$5="All domains",$B$5=C186),C186&lt;&gt;"legal",OR(D186="Partner or monitor",D186="Deprioritize")),E186,NA())</x:f>
        <x:v>0</x:v>
      </x:c>
      <x:c r="O186" s="67" t="n">
        <x:f>IF(AND(OR($B$5="All domains",$B$5=C186),C186&lt;&gt;"legal",OR(D186="Partner or monitor",D186="Deprioritize")),F186,NA())</x:f>
        <x:v>10</x:v>
      </x:c>
    </x:row>
    <x:row r="187">
      <x:c r="A187" s="21" t="str">
        <x:f>'Task Matrix'!B157</x:f>
        <x:v>engineering/kicad_navswitch_library_integration_release_002</x:v>
      </x:c>
      <x:c r="B187" s="21" t="str">
        <x:f>'Task Matrix'!C157</x:f>
        <x:v>KiCad Navswitch Library Integration</x:v>
      </x:c>
      <x:c r="C187" s="21" t="str">
        <x:f>'Task Matrix'!D157</x:f>
        <x:v>engineering</x:v>
      </x:c>
      <x:c r="D187" s="21" t="str">
        <x:f>'Task Matrix'!AK157</x:f>
        <x:v>Deprioritize</x:v>
      </x:c>
      <x:c r="E187" s="66" t="n">
        <x:f>'Task Matrix'!AF157</x:f>
        <x:v>0</x:v>
      </x:c>
      <x:c r="F187" s="67" t="n">
        <x:f>'Task Matrix'!V157</x:f>
        <x:v>5</x:v>
      </x:c>
      <x:c r="G187" s="67" t="n">
        <x:f>'Task Matrix'!Y157</x:f>
        <x:v>44</x:v>
      </x:c>
      <x:c r="H187" s="67" t="e">
        <x:f>IF(AND(OR($B$5="All domains",$B$5=C187),C187="legal"),E187,NA())</x:f>
        <x:v>#N/A</x:v>
      </x:c>
      <x:c r="I187" s="67" t="e">
        <x:f>IF(AND(OR($B$5="All domains",$B$5=C187),C187="legal"),F187,NA())</x:f>
        <x:v>#N/A</x:v>
      </x:c>
      <x:c r="J187" s="67" t="e">
        <x:f>IF(AND(OR($B$5="All domains",$B$5=C187),C187&lt;&gt;"legal",D187="Build now"),E187,NA())</x:f>
        <x:v>#N/A</x:v>
      </x:c>
      <x:c r="K187" s="67" t="e">
        <x:f>IF(AND(OR($B$5="All domains",$B$5=C187),C187&lt;&gt;"legal",D187="Build now"),F187,NA())</x:f>
        <x:v>#N/A</x:v>
      </x:c>
      <x:c r="L187" s="67" t="e">
        <x:f>IF(AND(OR($B$5="All domains",$B$5=C187),C187&lt;&gt;"legal",D187="Validate next"),E187,NA())</x:f>
        <x:v>#N/A</x:v>
      </x:c>
      <x:c r="M187" s="67" t="e">
        <x:f>IF(AND(OR($B$5="All domains",$B$5=C187),C187&lt;&gt;"legal",D187="Validate next"),F187,NA())</x:f>
        <x:v>#N/A</x:v>
      </x:c>
      <x:c r="N187" s="67" t="n">
        <x:f>IF(AND(OR($B$5="All domains",$B$5=C187),C187&lt;&gt;"legal",OR(D187="Partner or monitor",D187="Deprioritize")),E187,NA())</x:f>
        <x:v>0</x:v>
      </x:c>
      <x:c r="O187" s="67" t="n">
        <x:f>IF(AND(OR($B$5="All domains",$B$5=C187),C187&lt;&gt;"legal",OR(D187="Partner or monitor",D187="Deprioritize")),F187,NA())</x:f>
        <x:v>5</x:v>
      </x:c>
    </x:row>
  </x:sheetData>
  <x:mergeCells>
    <x:mergeCell ref="A1:N1"/>
    <x:mergeCell ref="A2:N3"/>
    <x:mergeCell ref="A6:N6"/>
    <x:mergeCell ref="A7:N7"/>
  </x:mergeCells>
  <x:dataValidations count="1">
    <x:dataValidation type="list" sqref="B5">
      <x:formula1>'Task Frontier'!$Q$35:$Q$49</x:formula1>
    </x:dataValidation>
  </x:dataValidations>
  <x:pageMargins left="0.7" right="0.7" top="0.75" bottom="0.75" header="0.3" footer="0.3"/>
  <x:drawing xmlns:r="http://schemas.openxmlformats.org/officeDocument/2006/relationships" r:id="R047026e044154b84"/>
  <x:tableParts count="1">
    <x:tablePart xmlns:r="http://schemas.openxmlformats.org/officeDocument/2006/relationships" r:id="Rbc202be23f3c47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34" hidden="0" customWidth="1"/>
    <x:col min="4" max="4" width="22" hidden="0" customWidth="1"/>
    <x:col min="5" max="5" width="28" hidden="0" customWidth="1"/>
    <x:col min="6" max="6" width="34" hidden="0" customWidth="1"/>
    <x:col min="7" max="7" width="34" hidden="0" customWidth="1"/>
    <x:col min="8" max="8" width="38" hidden="0" customWidth="1"/>
    <x:col min="9" max="9" width="12" hidden="0" customWidth="1"/>
    <x:col min="10" max="10" width="3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4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2" hidden="0" customWidth="1"/>
    <x:col min="34" max="34" width="12" hidden="0" customWidth="1"/>
    <x:col min="35" max="35" width="12" hidden="0" customWidth="1"/>
    <x:col min="36" max="36" width="42" hidden="0" customWidth="1"/>
    <x:col min="37" max="37" width="18" hidden="0" customWidth="1"/>
    <x:col min="38" max="38" width="52" hidden="0" customWidth="1"/>
    <x:col min="39" max="39" width="58" hidden="0" customWidth="1"/>
  </x:cols>
  <x:sheetData>
    <x:row r="1" ht="32" customHeight="1">
      <x:c r="A1" s="3" t="str">
        <x:v>ALE task economic value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>
      <x:c r="A2" s="7" t="str">
        <x:v>One row per published Agents' Last Exam task. Inputs are explicit estimates; blue columns are editable. Formula columns calculate value, net value, opportunity score, and rank.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</x:row>
    <x:row r="4" ht="42" customHeight="1">
      <x:c r="A4" s="29" t="str">
        <x:v>Rank</x:v>
      </x:c>
      <x:c r="B4" s="29" t="str">
        <x:v>Task ID</x:v>
      </x:c>
      <x:c r="C4" s="29" t="str">
        <x:v>Title</x:v>
      </x:c>
      <x:c r="D4" s="29" t="str">
        <x:v>Domain</x:v>
      </x:c>
      <x:c r="E4" s="29" t="str">
        <x:v>Subdomain</x:v>
      </x:c>
      <x:c r="F4" s="29" t="str">
        <x:v>Work type</x:v>
      </x:c>
      <x:c r="G4" s="29" t="str">
        <x:v>Primary role</x:v>
      </x:c>
      <x:c r="H4" s="29" t="str">
        <x:v>BLS cost group</x:v>
      </x:c>
      <x:c r="I4" s="29" t="str">
        <x:v>Specialist premium</x:v>
      </x:c>
      <x:c r="J4" s="29" t="str">
        <x:v>Output type</x:v>
      </x:c>
      <x:c r="K4" s="29" t="str">
        <x:v>Human hours low</x:v>
      </x:c>
      <x:c r="L4" s="29" t="str">
        <x:v>Human hours base</x:v>
      </x:c>
      <x:c r="M4" s="29" t="str">
        <x:v>Human hours high</x:v>
      </x:c>
      <x:c r="N4" s="29" t="str">
        <x:v>Annual frequency</x:v>
      </x:c>
      <x:c r="O4" s="29" t="str">
        <x:v>Loaded hourly cost</x:v>
      </x:c>
      <x:c r="P4" s="29" t="str">
        <x:v>Risk level</x:v>
      </x:c>
      <x:c r="Q4" s="29" t="str">
        <x:v>Risk multiplier</x:v>
      </x:c>
      <x:c r="R4" s="29" t="str">
        <x:v>Review burden</x:v>
      </x:c>
      <x:c r="S4" s="29" t="str">
        <x:v>Review hours</x:v>
      </x:c>
      <x:c r="T4" s="29" t="str">
        <x:v>Compute cost per run</x:v>
      </x:c>
      <x:c r="U4" s="29" t="str">
        <x:v>Current reality (1-5)</x:v>
      </x:c>
      <x:c r="V4" s="29" t="str">
        <x:v>Bonsai fit (0-100)</x:v>
      </x:c>
      <x:c r="W4" s="29" t="str">
        <x:v>Current success rate</x:v>
      </x:c>
      <x:c r="X4" s="29" t="str">
        <x:v>Target success rate</x:v>
      </x:c>
      <x:c r="Y4" s="29" t="str">
        <x:v>Market gap (0-100)</x:v>
      </x:c>
      <x:c r="Z4" s="29" t="str">
        <x:v>Deployment readiness</x:v>
      </x:c>
      <x:c r="AA4" s="29" t="str">
        <x:v>Value per completion low</x:v>
      </x:c>
      <x:c r="AB4" s="29" t="str">
        <x:v>Value per completion base</x:v>
      </x:c>
      <x:c r="AC4" s="29" t="str">
        <x:v>Value per completion high</x:v>
      </x:c>
      <x:c r="AD4" s="29" t="str">
        <x:v>Annual gross value</x:v>
      </x:c>
      <x:c r="AE4" s="29" t="str">
        <x:v>Current net annual value</x:v>
      </x:c>
      <x:c r="AF4" s="29" t="str">
        <x:v>Target net annual value</x:v>
      </x:c>
      <x:c r="AG4" s="29" t="str">
        <x:v>Economic percentile</x:v>
      </x:c>
      <x:c r="AH4" s="29" t="str">
        <x:v>Opportunity score</x:v>
      </x:c>
      <x:c r="AI4" s="29" t="str">
        <x:v>Confidence</x:v>
      </x:c>
      <x:c r="AJ4" s="29" t="str">
        <x:v>Gap hypothesis</x:v>
      </x:c>
      <x:c r="AK4" s="29" t="str">
        <x:v>Recommended move</x:v>
      </x:c>
      <x:c r="AL4" s="29" t="str">
        <x:v>Current reality note</x:v>
      </x:c>
      <x:c r="AM4" s="29" t="str">
        <x:v>Task card path</x:v>
      </x:c>
    </x:row>
    <x:row r="5">
      <x:c r="A5" s="40" t="n">
        <x:f>COUNTIF($AH$5:$AH$157,"&gt;"&amp;AH5)+COUNTIF($AH$5:AH5,AH5)</x:f>
        <x:v>1</x:v>
      </x:c>
      <x:c r="B5" s="51" t="str">
        <x:v>legal/legal_dr_fees_01</x:v>
      </x:c>
      <x:c r="C5" s="51" t="str">
        <x:v>BAC Arbitration Fee Calculation</x:v>
      </x:c>
      <x:c r="D5" s="51" t="str">
        <x:v>legal</x:v>
      </x:c>
      <x:c r="E5" s="51" t="str">
        <x:v>Doctrinal Legal Research</x:v>
      </x:c>
      <x:c r="F5" s="51" t="str">
        <x:v>Document intelligence and compliance</x:v>
      </x:c>
      <x:c r="G5" s="51" t="str">
        <x:v>Legal analyst or paralegal</x:v>
      </x:c>
      <x:c r="H5" s="51" t="str">
        <x:v>Professional and related</x:v>
      </x:c>
      <x:c r="I5" s="52" t="n">
        <x:v>1.4</x:v>
      </x:c>
      <x:c r="J5" s="51" t="str">
        <x:v>Structured data artifact</x:v>
      </x:c>
      <x:c r="K5" s="43" t="n">
        <x:v>10</x:v>
      </x:c>
      <x:c r="L5" s="43" t="n">
        <x:v>18</x:v>
      </x:c>
      <x:c r="M5" s="43" t="n">
        <x:v>32</x:v>
      </x:c>
      <x:c r="N5" s="43" t="n">
        <x:v>52</x:v>
      </x:c>
      <x:c r="O5" s="44" t="n">
        <x:f>INDEX('Assumptions'!$B$24:$B$29,MATCH(H5,'Assumptions'!$A$24:$A$29,0))*I5</x:f>
        <x:v>102.18599999999999</x:v>
      </x:c>
      <x:c r="P5" s="41" t="str">
        <x:v>High</x:v>
      </x:c>
      <x:c r="Q5" s="45" t="n">
        <x:f>INDEX('Assumptions'!$B$18:$B$21,MATCH(P5,'Assumptions'!$A$18:$A$21,0))</x:f>
        <x:v>1.6</x:v>
      </x:c>
      <x:c r="R5" s="46" t="n">
        <x:v>0.28</x:v>
      </x:c>
      <x:c r="S5" s="47" t="n">
        <x:f>L5*R5</x:f>
        <x:v>5.040000000000001</x:v>
      </x:c>
      <x:c r="T5" s="48" t="n">
        <x:v>5</x:v>
      </x:c>
      <x:c r="U5" s="41" t="n">
        <x:v>5</x:v>
      </x:c>
      <x:c r="V5" s="41" t="n">
        <x:v>92</x:v>
      </x:c>
      <x:c r="W5" s="49" t="n">
        <x:f>V5/100*'Assumptions'!$B$9</x:f>
        <x:v>0.322</x:v>
      </x:c>
      <x:c r="X5" s="49" t="n">
        <x:f>MIN('Assumptions'!$B$11,V5/100*'Assumptions'!$B$10)</x:f>
        <x:v>0.7176</x:v>
      </x:c>
      <x:c r="Y5" s="41" t="n">
        <x:v>93</x:v>
      </x:c>
      <x:c r="Z5" s="41" t="n">
        <x:v>78</x:v>
      </x:c>
      <x:c r="AA5" s="50" t="n">
        <x:f>K5*O5*Q5</x:f>
        <x:v>1634.9759999999999</x:v>
      </x:c>
      <x:c r="AB5" s="50" t="n">
        <x:f>L5*O5*Q5</x:f>
        <x:v>2942.9568</x:v>
      </x:c>
      <x:c r="AC5" s="50" t="n">
        <x:f>M5*O5*Q5</x:f>
        <x:v>5231.9232</x:v>
      </x:c>
      <x:c r="AD5" s="50" t="n">
        <x:f>AB5*N5</x:f>
        <x:v>153033.7536</x:v>
      </x:c>
      <x:c r="AE5" s="50" t="n">
        <x:f>MAX(0,N5*(AB5*W5-S5*O5-T5))</x:f>
        <x:v>22235.961779199995</x:v>
      </x:c>
      <x:c r="AF5" s="50" t="n">
        <x:f>MAX(0,N5*(AB5*X5-S5*O5-T5))</x:f>
        <x:v>82776.11470335998</x:v>
      </x:c>
      <x:c r="AG5" s="47" t="n">
        <x:f>(RANK.EQ(AD5,$AD$5:$AD$157,1)-1)/(COUNT($AD$5:$AD$157)-1)*100</x:f>
        <x:v>82.23684210526315</x:v>
      </x:c>
      <x:c r="AH5" s="47" t="n">
        <x:f>MAX(0,MIN(100,AG5*'Assumptions'!$B$5+V5*'Assumptions'!$B$6+Y5*'Assumptions'!$B$7+Z5*'Assumptions'!$B$8-(Q5-1)*'Assumptions'!$B$12))</x:f>
        <x:v>82.2092105263158</x:v>
      </x:c>
      <x:c r="AI5" s="51" t="str">
        <x:v>Medium</x:v>
      </x:c>
      <x:c r="AJ5" s="51" t="str">
        <x:v>Private, multilingual document work with structured evidence and audit trails is underserved.</x:v>
      </x:c>
      <x:c r="AK5" s="53" t="str">
        <x:f>IF(AND(AH5&gt;=75,V5&gt;=65,Z5&gt;=60),"Build now",IF(AND(AH5&gt;=60,V5&gt;=50),"Validate next",IF(AH5&gt;=50,"Partner or monitor","Deprioritize")))</x:f>
        <x:v>Build now</x:v>
      </x:c>
      <x:c r="AL5" s="51" t="str">
        <x:v>Commodity automation exists for most of the work unit.</x:v>
      </x:c>
      <x:c r="AM5" s="51" t="str">
        <x:v>/Users/jaibhagat/code/prismml/agents-last-exam/tasks/legal/legal_dr_fees_01/task_card.json</x:v>
      </x:c>
    </x:row>
    <x:row r="6">
      <x:c r="A6" s="40" t="n">
        <x:f>COUNTIF($AH$5:$AH$157,"&gt;"&amp;AH6)+COUNTIF($AH$5:AH6,AH6)</x:f>
        <x:v>2</x:v>
      </x:c>
      <x:c r="B6" s="51" t="str">
        <x:v>health_medicine/healthcare_bias_audit_27a_public_replication_v1</x:v>
      </x:c>
      <x:c r="C6" s="51" t="str">
        <x:v>Public Synthetic Healthcare Bias Audit Replication</x:v>
      </x:c>
      <x:c r="D6" s="51" t="str">
        <x:v>health_medicine</x:v>
      </x:c>
      <x:c r="E6" s="51" t="str">
        <x:v>Clinical Informatics &amp; Care Operations</x:v>
      </x:c>
      <x:c r="F6" s="51" t="str">
        <x:v>Document intelligence and compliance</x:v>
      </x:c>
      <x:c r="G6" s="51" t="str">
        <x:v>Clinical data scientist or medical specialist</x:v>
      </x:c>
      <x:c r="H6" s="51" t="str">
        <x:v>Professional and related</x:v>
      </x:c>
      <x:c r="I6" s="52" t="n">
        <x:v>1.3</x:v>
      </x:c>
      <x:c r="J6" s="51" t="str">
        <x:v>Structured data artifact</x:v>
      </x:c>
      <x:c r="K6" s="43" t="n">
        <x:v>13</x:v>
      </x:c>
      <x:c r="L6" s="43" t="n">
        <x:v>24</x:v>
      </x:c>
      <x:c r="M6" s="43" t="n">
        <x:v>43</x:v>
      </x:c>
      <x:c r="N6" s="43" t="n">
        <x:v>100</x:v>
      </x:c>
      <x:c r="O6" s="44" t="n">
        <x:f>INDEX('Assumptions'!$B$24:$B$29,MATCH(H6,'Assumptions'!$A$24:$A$29,0))*I6</x:f>
        <x:v>94.887</x:v>
      </x:c>
      <x:c r="P6" s="41" t="str">
        <x:v>High</x:v>
      </x:c>
      <x:c r="Q6" s="45" t="n">
        <x:f>INDEX('Assumptions'!$B$18:$B$21,MATCH(P6,'Assumptions'!$A$18:$A$21,0))</x:f>
        <x:v>1.6</x:v>
      </x:c>
      <x:c r="R6" s="46" t="n">
        <x:v>0.28</x:v>
      </x:c>
      <x:c r="S6" s="47" t="n">
        <x:f>L6*R6</x:f>
        <x:v>6.720000000000001</x:v>
      </x:c>
      <x:c r="T6" s="48" t="n">
        <x:v>5</x:v>
      </x:c>
      <x:c r="U6" s="41" t="n">
        <x:v>5</x:v>
      </x:c>
      <x:c r="V6" s="41" t="n">
        <x:v>82</x:v>
      </x:c>
      <x:c r="W6" s="49" t="n">
        <x:f>V6/100*'Assumptions'!$B$9</x:f>
        <x:v>0.287</x:v>
      </x:c>
      <x:c r="X6" s="49" t="n">
        <x:f>MIN('Assumptions'!$B$11,V6/100*'Assumptions'!$B$10)</x:f>
        <x:v>0.6396</x:v>
      </x:c>
      <x:c r="Y6" s="41" t="n">
        <x:v>88</x:v>
      </x:c>
      <x:c r="Z6" s="41" t="n">
        <x:v>78</x:v>
      </x:c>
      <x:c r="AA6" s="50" t="n">
        <x:f>K6*O6*Q6</x:f>
        <x:v>1973.6496</x:v>
      </x:c>
      <x:c r="AB6" s="50" t="n">
        <x:f>L6*O6*Q6</x:f>
        <x:v>3643.6608</x:v>
      </x:c>
      <x:c r="AC6" s="50" t="n">
        <x:f>M6*O6*Q6</x:f>
        <x:v>6528.225600000001</x:v>
      </x:c>
      <x:c r="AD6" s="50" t="n">
        <x:f>AB6*N6</x:f>
        <x:v>364366.08</x:v>
      </x:c>
      <x:c r="AE6" s="50" t="n">
        <x:f>MAX(0,N6*(AB6*W6-S6*O6-T6))</x:f>
        <x:v>40309.00095999998</x:v>
      </x:c>
      <x:c r="AF6" s="50" t="n">
        <x:f>MAX(0,N6*(AB6*X6-S6*O6-T6))</x:f>
        <x:v>168784.48076799995</x:v>
      </x:c>
      <x:c r="AG6" s="47" t="n">
        <x:f>(RANK.EQ(AD6,$AD$5:$AD$157,1)-1)/(COUNT($AD$5:$AD$157)-1)*100</x:f>
        <x:v>94.07894736842105</x:v>
      </x:c>
      <x:c r="AH6" s="47" t="n">
        <x:f>MAX(0,MIN(100,AG6*'Assumptions'!$B$5+V6*'Assumptions'!$B$6+Y6*'Assumptions'!$B$7+Z6*'Assumptions'!$B$8-(Q6-1)*'Assumptions'!$B$12))</x:f>
        <x:v>80.91973684210525</x:v>
      </x:c>
      <x:c r="AI6" s="51" t="str">
        <x:v>Medium</x:v>
      </x:c>
      <x:c r="AJ6" s="51" t="str">
        <x:v>Domain-specific document work needs reliable citations, schemas, and review routing rather than generic chat.</x:v>
      </x:c>
      <x:c r="AK6" s="53" t="str">
        <x:f>IF(AND(AH6&gt;=75,V6&gt;=65,Z6&gt;=60),"Build now",IF(AND(AH6&gt;=60,V6&gt;=50),"Validate next",IF(AH6&gt;=50,"Partner or monitor","Deprioritize")))</x:f>
        <x:v>Build now</x:v>
      </x:c>
      <x:c r="AL6" s="51" t="str">
        <x:v>Commodity automation exists for most of the work unit.</x:v>
      </x:c>
      <x:c r="AM6" s="51" t="str">
        <x:v>/Users/jaibhagat/code/prismml/agents-last-exam/tasks/health_medicine/healthcare_bias_audit_27a_public_replication_v1/task_card.json</x:v>
      </x:c>
    </x:row>
    <x:row r="7">
      <x:c r="A7" s="40" t="n">
        <x:f>COUNTIF($AH$5:$AH$157,"&gt;"&amp;AH7)+COUNTIF($AH$5:AH7,AH7)</x:f>
        <x:v>3</x:v>
      </x:c>
      <x:c r="B7" s="51" t="str">
        <x:v>business_finance/llm_ecosystem_privacy_audit_realdata_1</x:v>
      </x:c>
      <x:c r="C7" s="51" t="str">
        <x:v>GPT Actions Privacy &amp; Policy Audit</x:v>
      </x:c>
      <x:c r="D7" s="51" t="str">
        <x:v>business_finance</x:v>
      </x:c>
      <x:c r="E7" s="51" t="str">
        <x:v>Compliance &amp; Regulatory</x:v>
      </x:c>
      <x:c r="F7" s="51" t="str">
        <x:v>Document intelligence and compliance</x:v>
      </x:c>
      <x:c r="G7" s="51" t="str">
        <x:v>Compliance, tax, or financial reporting specialist</x:v>
      </x:c>
      <x:c r="H7" s="51" t="str">
        <x:v>Management, business, and financial</x:v>
      </x:c>
      <x:c r="I7" s="52" t="n">
        <x:v>1.15</x:v>
      </x:c>
      <x:c r="J7" s="51" t="str">
        <x:v>Structured data artifact</x:v>
      </x:c>
      <x:c r="K7" s="43" t="n">
        <x:v>275</x:v>
      </x:c>
      <x:c r="L7" s="43" t="n">
        <x:v>500</x:v>
      </x:c>
      <x:c r="M7" s="43" t="n">
        <x:v>900</x:v>
      </x:c>
      <x:c r="N7" s="43" t="n">
        <x:v>4</x:v>
      </x:c>
      <x:c r="O7" s="44" t="n">
        <x:f>INDEX('Assumptions'!$B$24:$B$29,MATCH(H7,'Assumptions'!$A$24:$A$29,0))*I7</x:f>
        <x:v>100.84349999999999</x:v>
      </x:c>
      <x:c r="P7" s="41" t="str">
        <x:v>Medium</x:v>
      </x:c>
      <x:c r="Q7" s="45" t="n">
        <x:f>INDEX('Assumptions'!$B$18:$B$21,MATCH(P7,'Assumptions'!$A$18:$A$21,0))</x:f>
        <x:v>1.25</x:v>
      </x:c>
      <x:c r="R7" s="46" t="n">
        <x:v>0.18</x:v>
      </x:c>
      <x:c r="S7" s="47" t="n">
        <x:f>L7*R7</x:f>
        <x:v>90</x:v>
      </x:c>
      <x:c r="T7" s="48" t="n">
        <x:v>5</x:v>
      </x:c>
      <x:c r="U7" s="41" t="n">
        <x:v>5</x:v>
      </x:c>
      <x:c r="V7" s="41" t="n">
        <x:v>66</x:v>
      </x:c>
      <x:c r="W7" s="49" t="n">
        <x:f>V7/100*'Assumptions'!$B$9</x:f>
        <x:v>0.23099999999999998</x:v>
      </x:c>
      <x:c r="X7" s="49" t="n">
        <x:f>MIN('Assumptions'!$B$11,V7/100*'Assumptions'!$B$10)</x:f>
        <x:v>0.5148</x:v>
      </x:c>
      <x:c r="Y7" s="41" t="n">
        <x:v>94</x:v>
      </x:c>
      <x:c r="Z7" s="41" t="n">
        <x:v>76</x:v>
      </x:c>
      <x:c r="AA7" s="50" t="n">
        <x:f>K7*O7*Q7</x:f>
        <x:v>34664.953125</x:v>
      </x:c>
      <x:c r="AB7" s="50" t="n">
        <x:f>L7*O7*Q7</x:f>
        <x:v>63027.18749999999</x:v>
      </x:c>
      <x:c r="AC7" s="50" t="n">
        <x:f>M7*O7*Q7</x:f>
        <x:v>113448.9375</x:v>
      </x:c>
      <x:c r="AD7" s="50" t="n">
        <x:f>AB7*N7</x:f>
        <x:v>252108.74999999997</x:v>
      </x:c>
      <x:c r="AE7" s="50" t="n">
        <x:f>MAX(0,N7*(AB7*W7-S7*O7-T7))</x:f>
        <x:v>21913.461249999993</x:v>
      </x:c>
      <x:c r="AF7" s="50" t="n">
        <x:f>MAX(0,N7*(AB7*X7-S7*O7-T7))</x:f>
        <x:v>93461.9245</x:v>
      </x:c>
      <x:c r="AG7" s="47" t="n">
        <x:f>(RANK.EQ(AD7,$AD$5:$AD$157,1)-1)/(COUNT($AD$5:$AD$157)-1)*100</x:f>
        <x:v>92.10526315789474</x:v>
      </x:c>
      <x:c r="AH7" s="47" t="n">
        <x:f>MAX(0,MIN(100,AG7*'Assumptions'!$B$5+V7*'Assumptions'!$B$6+Y7*'Assumptions'!$B$7+Z7*'Assumptions'!$B$8-(Q7-1)*'Assumptions'!$B$12))</x:f>
        <x:v>79.52631578947368</x:v>
      </x:c>
      <x:c r="AI7" s="51" t="str">
        <x:v>Medium</x:v>
      </x:c>
      <x:c r="AJ7" s="51" t="str">
        <x:v>Domain-specific document work needs reliable citations, schemas, and review routing rather than generic chat.</x:v>
      </x:c>
      <x:c r="AK7" s="53" t="str">
        <x:f>IF(AND(AH7&gt;=75,V7&gt;=65,Z7&gt;=60),"Build now",IF(AND(AH7&gt;=60,V7&gt;=50),"Validate next",IF(AH7&gt;=50,"Partner or monitor","Deprioritize")))</x:f>
        <x:v>Build now</x:v>
      </x:c>
      <x:c r="AL7" s="51" t="str">
        <x:v>Commodity automation exists for most of the work unit.</x:v>
      </x:c>
      <x:c r="AM7" s="51" t="str">
        <x:v>/Users/jaibhagat/code/prismml/agents-last-exam/tasks/business_finance/llm_ecosystem_privacy_audit_realdata_1/task_card.json</x:v>
      </x:c>
    </x:row>
    <x:row r="8">
      <x:c r="A8" s="40" t="n">
        <x:f>COUNTIF($AH$5:$AH$157,"&gt;"&amp;AH8)+COUNTIF($AH$5:AH8,AH8)</x:f>
        <x:v>4</x:v>
      </x:c>
      <x:c r="B8" s="51" t="str">
        <x:v>physical_sciences/qm9_mmff94_forcefield_survey_1</x:v>
      </x:c>
      <x:c r="C8" s="51" t="str">
        <x:v>QM9 MMFF94 Force-Field Failure Survey</x:v>
      </x:c>
      <x:c r="D8" s="51" t="str">
        <x:v>physical_sciences</x:v>
      </x:c>
      <x:c r="E8" s="51" t="str">
        <x:v>Chemistry &amp; Materials Computation</x:v>
      </x:c>
      <x:c r="F8" s="51" t="str">
        <x:v>Document intelligence and compliance</x:v>
      </x:c>
      <x:c r="G8" s="51" t="str">
        <x:v>Computational scientist</x:v>
      </x:c>
      <x:c r="H8" s="51" t="str">
        <x:v>Professional and related</x:v>
      </x:c>
      <x:c r="I8" s="52" t="n">
        <x:v>1.25</x:v>
      </x:c>
      <x:c r="J8" s="51" t="str">
        <x:v>Structured data artifact</x:v>
      </x:c>
      <x:c r="K8" s="43" t="n">
        <x:v>13</x:v>
      </x:c>
      <x:c r="L8" s="43" t="n">
        <x:v>24</x:v>
      </x:c>
      <x:c r="M8" s="43" t="n">
        <x:v>43</x:v>
      </x:c>
      <x:c r="N8" s="43" t="n">
        <x:v>52</x:v>
      </x:c>
      <x:c r="O8" s="44" t="n">
        <x:f>INDEX('Assumptions'!$B$24:$B$29,MATCH(H8,'Assumptions'!$A$24:$A$29,0))*I8</x:f>
        <x:v>91.2375</x:v>
      </x:c>
      <x:c r="P8" s="41" t="str">
        <x:v>Medium</x:v>
      </x:c>
      <x:c r="Q8" s="45" t="n">
        <x:f>INDEX('Assumptions'!$B$18:$B$21,MATCH(P8,'Assumptions'!$A$18:$A$21,0))</x:f>
        <x:v>1.25</x:v>
      </x:c>
      <x:c r="R8" s="46" t="n">
        <x:v>0.18</x:v>
      </x:c>
      <x:c r="S8" s="47" t="n">
        <x:f>L8*R8</x:f>
        <x:v>4.32</x:v>
      </x:c>
      <x:c r="T8" s="48" t="n">
        <x:v>5</x:v>
      </x:c>
      <x:c r="U8" s="41" t="n">
        <x:v>5</x:v>
      </x:c>
      <x:c r="V8" s="41" t="n">
        <x:v>82</x:v>
      </x:c>
      <x:c r="W8" s="49" t="n">
        <x:f>V8/100*'Assumptions'!$B$9</x:f>
        <x:v>0.287</x:v>
      </x:c>
      <x:c r="X8" s="49" t="n">
        <x:f>MIN('Assumptions'!$B$11,V8/100*'Assumptions'!$B$10)</x:f>
        <x:v>0.6396</x:v>
      </x:c>
      <x:c r="Y8" s="41" t="n">
        <x:v>80</x:v>
      </x:c>
      <x:c r="Z8" s="41" t="n">
        <x:v>81</x:v>
      </x:c>
      <x:c r="AA8" s="50" t="n">
        <x:f>K8*O8*Q8</x:f>
        <x:v>1482.6093749999998</x:v>
      </x:c>
      <x:c r="AB8" s="50" t="n">
        <x:f>L8*O8*Q8</x:f>
        <x:v>2737.125</x:v>
      </x:c>
      <x:c r="AC8" s="50" t="n">
        <x:f>M8*O8*Q8</x:f>
        <x:v>4904.015625</x:v>
      </x:c>
      <x:c r="AD8" s="50" t="n">
        <x:f>AB8*N8</x:f>
        <x:v>142330.5</x:v>
      </x:c>
      <x:c r="AE8" s="50" t="n">
        <x:f>MAX(0,N8*(AB8*W8-S8*O8-T8))</x:f>
        <x:v>20093.261499999997</x:v>
      </x:c>
      <x:c r="AF8" s="50" t="n">
        <x:f>MAX(0,N8*(AB8*X8-S8*O8-T8))</x:f>
        <x:v>70278.99579999999</x:v>
      </x:c>
      <x:c r="AG8" s="47" t="n">
        <x:f>(RANK.EQ(AD8,$AD$5:$AD$157,1)-1)/(COUNT($AD$5:$AD$157)-1)*100</x:f>
        <x:v>78.94736842105263</x:v>
      </x:c>
      <x:c r="AH8" s="47" t="n">
        <x:f>MAX(0,MIN(100,AG8*'Assumptions'!$B$5+V8*'Assumptions'!$B$6+Y8*'Assumptions'!$B$7+Z8*'Assumptions'!$B$8-(Q8-1)*'Assumptions'!$B$12))</x:f>
        <x:v>78.53684210526316</x:v>
      </x:c>
      <x:c r="AI8" s="51" t="str">
        <x:v>Medium</x:v>
      </x:c>
      <x:c r="AJ8" s="51" t="str">
        <x:v>Organizations need repeatable extraction and evidence workflows across inconsistent source formats.</x:v>
      </x:c>
      <x:c r="AK8" s="53" t="str">
        <x:f>IF(AND(AH8&gt;=75,V8&gt;=65,Z8&gt;=60),"Build now",IF(AND(AH8&gt;=60,V8&gt;=50),"Validate next",IF(AH8&gt;=50,"Partner or monitor","Deprioritize")))</x:f>
        <x:v>Build now</x:v>
      </x:c>
      <x:c r="AL8" s="51" t="str">
        <x:v>Commodity automation exists for most of the work unit.</x:v>
      </x:c>
      <x:c r="AM8" s="51" t="str">
        <x:v>/Users/jaibhagat/code/prismml/agents-last-exam/tasks/physical_sciences/qm9_mmff94_forcefield_survey_1/task_card.json</x:v>
      </x:c>
    </x:row>
    <x:row r="9">
      <x:c r="A9" s="40" t="n">
        <x:f>COUNTIF($AH$5:$AH$157,"&gt;"&amp;AH9)+COUNTIF($AH$5:AH9,AH9)</x:f>
        <x:v>5</x:v>
      </x:c>
      <x:c r="B9" s="51" t="str">
        <x:v>transport_safety/fds_single_compartment_detector_reconstruction</x:v>
      </x:c>
      <x:c r="C9" s="51" t="str">
        <x:v>FDS Single-Compartment Detector Reconstruction</x:v>
      </x:c>
      <x:c r="D9" s="51" t="str">
        <x:v>transport_safety</x:v>
      </x:c>
      <x:c r="E9" s="51" t="str">
        <x:v>Fire Science &amp; Public Safety</x:v>
      </x:c>
      <x:c r="F9" s="51" t="str">
        <x:v>Document intelligence and compliance</x:v>
      </x:c>
      <x:c r="G9" s="51" t="str">
        <x:v>Transportation or safety analyst</x:v>
      </x:c>
      <x:c r="H9" s="51" t="str">
        <x:v>Professional and related</x:v>
      </x:c>
      <x:c r="I9" s="52" t="n">
        <x:v>1.15</x:v>
      </x:c>
      <x:c r="J9" s="51" t="str">
        <x:v>Structured data artifact</x:v>
      </x:c>
      <x:c r="K9" s="43" t="n">
        <x:v>20</x:v>
      </x:c>
      <x:c r="L9" s="43" t="n">
        <x:v>36</x:v>
      </x:c>
      <x:c r="M9" s="43" t="n">
        <x:v>65</x:v>
      </x:c>
      <x:c r="N9" s="43" t="n">
        <x:v>52</x:v>
      </x:c>
      <x:c r="O9" s="44" t="n">
        <x:f>INDEX('Assumptions'!$B$24:$B$29,MATCH(H9,'Assumptions'!$A$24:$A$29,0))*I9</x:f>
        <x:v>83.93849999999999</x:v>
      </x:c>
      <x:c r="P9" s="41" t="str">
        <x:v>High</x:v>
      </x:c>
      <x:c r="Q9" s="45" t="n">
        <x:f>INDEX('Assumptions'!$B$18:$B$21,MATCH(P9,'Assumptions'!$A$18:$A$21,0))</x:f>
        <x:v>1.6</x:v>
      </x:c>
      <x:c r="R9" s="46" t="n">
        <x:v>0.28</x:v>
      </x:c>
      <x:c r="S9" s="47" t="n">
        <x:f>L9*R9</x:f>
        <x:v>10.080000000000002</x:v>
      </x:c>
      <x:c r="T9" s="48" t="n">
        <x:v>5</x:v>
      </x:c>
      <x:c r="U9" s="41" t="n">
        <x:v>5</x:v>
      </x:c>
      <x:c r="V9" s="41" t="n">
        <x:v>82</x:v>
      </x:c>
      <x:c r="W9" s="49" t="n">
        <x:f>V9/100*'Assumptions'!$B$9</x:f>
        <x:v>0.287</x:v>
      </x:c>
      <x:c r="X9" s="49" t="n">
        <x:f>MIN('Assumptions'!$B$11,V9/100*'Assumptions'!$B$10)</x:f>
        <x:v>0.6396</x:v>
      </x:c>
      <x:c r="Y9" s="41" t="n">
        <x:v>80</x:v>
      </x:c>
      <x:c r="Z9" s="41" t="n">
        <x:v>78</x:v>
      </x:c>
      <x:c r="AA9" s="50" t="n">
        <x:f>K9*O9*Q9</x:f>
        <x:v>2686.0319999999997</x:v>
      </x:c>
      <x:c r="AB9" s="50" t="n">
        <x:f>L9*O9*Q9</x:f>
        <x:v>4834.857599999999</x:v>
      </x:c>
      <x:c r="AC9" s="50" t="n">
        <x:f>M9*O9*Q9</x:f>
        <x:v>8729.604</x:v>
      </x:c>
      <x:c r="AD9" s="50" t="n">
        <x:f>AB9*N9</x:f>
        <x:v>251412.59519999998</x:v>
      </x:c>
      <x:c r="AE9" s="50" t="n">
        <x:f>MAX(0,N9*(AB9*W9-S9*O9-T9))</x:f>
        <x:v>27898.210662399986</x:v>
      </x:c>
      <x:c r="AF9" s="50" t="n">
        <x:f>MAX(0,N9*(AB9*X9-S9*O9-T9))</x:f>
        <x:v>116546.29172991995</x:v>
      </x:c>
      <x:c r="AG9" s="47" t="n">
        <x:f>(RANK.EQ(AD9,$AD$5:$AD$157,1)-1)/(COUNT($AD$5:$AD$157)-1)*100</x:f>
        <x:v>91.44736842105263</x:v>
      </x:c>
      <x:c r="AH9" s="47" t="n">
        <x:f>MAX(0,MIN(100,AG9*'Assumptions'!$B$5+V9*'Assumptions'!$B$6+Y9*'Assumptions'!$B$7+Z9*'Assumptions'!$B$8-(Q9-1)*'Assumptions'!$B$12))</x:f>
        <x:v>78.26184210526317</x:v>
      </x:c>
      <x:c r="AI9" s="51" t="str">
        <x:v>Medium</x:v>
      </x:c>
      <x:c r="AJ9" s="51" t="str">
        <x:v>Organizations need repeatable extraction and evidence workflows across inconsistent source formats.</x:v>
      </x:c>
      <x:c r="AK9" s="53" t="str">
        <x:f>IF(AND(AH9&gt;=75,V9&gt;=65,Z9&gt;=60),"Build now",IF(AND(AH9&gt;=60,V9&gt;=50),"Validate next",IF(AH9&gt;=50,"Partner or monitor","Deprioritize")))</x:f>
        <x:v>Build now</x:v>
      </x:c>
      <x:c r="AL9" s="51" t="str">
        <x:v>Commodity automation exists for most of the work unit.</x:v>
      </x:c>
      <x:c r="AM9" s="51" t="str">
        <x:v>/Users/jaibhagat/code/prismml/agents-last-exam/tasks/transport_safety/fds_single_compartment_detector_reconstruction/task_card.json</x:v>
      </x:c>
    </x:row>
    <x:row r="10">
      <x:c r="A10" s="40" t="n">
        <x:f>COUNTIF($AH$5:$AH$157,"&gt;"&amp;AH10)+COUNTIF($AH$5:AH10,AH10)</x:f>
        <x:v>6</x:v>
      </x:c>
      <x:c r="B10" s="51" t="str">
        <x:v>computing_math/k3_abelian_extensions</x:v>
      </x:c>
      <x:c r="C10" s="51" t="str">
        <x:v>Finite Abelian Extension Classification</x:v>
      </x:c>
      <x:c r="D10" s="51" t="str">
        <x:v>computing_math</x:v>
      </x:c>
      <x:c r="E10" s="51" t="str">
        <x:v>Mathematical &amp; Operations Research</x:v>
      </x:c>
      <x:c r="F10" s="51" t="str">
        <x:v>Document intelligence and compliance</x:v>
      </x:c>
      <x:c r="G10" s="51" t="str">
        <x:v>Software engineer or data scientist</x:v>
      </x:c>
      <x:c r="H10" s="51" t="str">
        <x:v>Professional and related</x:v>
      </x:c>
      <x:c r="I10" s="52" t="n">
        <x:v>1.15</x:v>
      </x:c>
      <x:c r="J10" s="51" t="str">
        <x:v>Structured data artifact</x:v>
      </x:c>
      <x:c r="K10" s="43" t="n">
        <x:v>13</x:v>
      </x:c>
      <x:c r="L10" s="43" t="n">
        <x:v>24</x:v>
      </x:c>
      <x:c r="M10" s="43" t="n">
        <x:v>43</x:v>
      </x:c>
      <x:c r="N10" s="43" t="n">
        <x:v>52</x:v>
      </x:c>
      <x:c r="O10" s="44" t="n">
        <x:f>INDEX('Assumptions'!$B$24:$B$29,MATCH(H10,'Assumptions'!$A$24:$A$29,0))*I10</x:f>
        <x:v>83.93849999999999</x:v>
      </x:c>
      <x:c r="P10" s="41" t="str">
        <x:v>Low</x:v>
      </x:c>
      <x:c r="Q10" s="45" t="n">
        <x:f>INDEX('Assumptions'!$B$18:$B$21,MATCH(P10,'Assumptions'!$A$18:$A$21,0))</x:f>
        <x:v>1</x:v>
      </x:c>
      <x:c r="R10" s="46" t="n">
        <x:v>0.1</x:v>
      </x:c>
      <x:c r="S10" s="47" t="n">
        <x:f>L10*R10</x:f>
        <x:v>2.4000000000000004</x:v>
      </x:c>
      <x:c r="T10" s="48" t="n">
        <x:v>5</x:v>
      </x:c>
      <x:c r="U10" s="41" t="n">
        <x:v>5</x:v>
      </x:c>
      <x:c r="V10" s="41" t="n">
        <x:v>82</x:v>
      </x:c>
      <x:c r="W10" s="49" t="n">
        <x:f>V10/100*'Assumptions'!$B$9</x:f>
        <x:v>0.287</x:v>
      </x:c>
      <x:c r="X10" s="49" t="n">
        <x:f>MIN('Assumptions'!$B$11,V10/100*'Assumptions'!$B$10)</x:f>
        <x:v>0.6396</x:v>
      </x:c>
      <x:c r="Y10" s="41" t="n">
        <x:v>80</x:v>
      </x:c>
      <x:c r="Z10" s="41" t="n">
        <x:v>86</x:v>
      </x:c>
      <x:c r="AA10" s="50" t="n">
        <x:f>K10*O10*Q10</x:f>
        <x:v>1091.2005</x:v>
      </x:c>
      <x:c r="AB10" s="50" t="n">
        <x:f>L10*O10*Q10</x:f>
        <x:v>2014.524</x:v>
      </x:c>
      <x:c r="AC10" s="50" t="n">
        <x:f>M10*O10*Q10</x:f>
        <x:v>3609.3554999999997</x:v>
      </x:c>
      <x:c r="AD10" s="50" t="n">
        <x:f>AB10*N10</x:f>
        <x:v>104755.24799999999</x:v>
      </x:c>
      <x:c r="AE10" s="50" t="n">
        <x:f>MAX(0,N10*(AB10*W10-S10*O10-T10))</x:f>
        <x:v>19329.231375999996</x:v>
      </x:c>
      <x:c r="AF10" s="50" t="n">
        <x:f>MAX(0,N10*(AB10*X10-S10*O10-T10))</x:f>
        <x:v>56265.9318208</x:v>
      </x:c>
      <x:c r="AG10" s="47" t="n">
        <x:f>(RANK.EQ(AD10,$AD$5:$AD$157,1)-1)/(COUNT($AD$5:$AD$157)-1)*100</x:f>
        <x:v>64.47368421052632</x:v>
      </x:c>
      <x:c r="AH10" s="47" t="n">
        <x:f>MAX(0,MIN(100,AG10*'Assumptions'!$B$5+V10*'Assumptions'!$B$6+Y10*'Assumptions'!$B$7+Z10*'Assumptions'!$B$8-(Q10-1)*'Assumptions'!$B$12))</x:f>
        <x:v>77.91842105263157</x:v>
      </x:c>
      <x:c r="AI10" s="51" t="str">
        <x:v>Medium</x:v>
      </x:c>
      <x:c r="AJ10" s="51" t="str">
        <x:v>Organizations need repeatable extraction and evidence workflows across inconsistent source formats.</x:v>
      </x:c>
      <x:c r="AK10" s="53" t="str">
        <x:f>IF(AND(AH10&gt;=75,V10&gt;=65,Z10&gt;=60),"Build now",IF(AND(AH10&gt;=60,V10&gt;=50),"Validate next",IF(AH10&gt;=50,"Partner or monitor","Deprioritize")))</x:f>
        <x:v>Build now</x:v>
      </x:c>
      <x:c r="AL10" s="51" t="str">
        <x:v>Commodity automation exists for most of the work unit.</x:v>
      </x:c>
      <x:c r="AM10" s="51" t="str">
        <x:v>/Users/jaibhagat/code/prismml/agents-last-exam/tasks/computing_math/k3_abelian_extensions/task_card.json</x:v>
      </x:c>
    </x:row>
    <x:row r="11">
      <x:c r="A11" s="40" t="n">
        <x:f>COUNTIF($AH$5:$AH$157,"&gt;"&amp;AH11)+COUNTIF($AH$5:AH11,AH11)</x:f>
        <x:v>7</x:v>
      </x:c>
      <x:c r="B11" s="51" t="str">
        <x:v>computing_math/pcap_enterprise_triage_01</x:v>
      </x:c>
      <x:c r="C11" s="51" t="str">
        <x:v>Enterprise PCAP Triage In Wireshark</x:v>
      </x:c>
      <x:c r="D11" s="51" t="str">
        <x:v>computing_math</x:v>
      </x:c>
      <x:c r="E11" s="51" t="str">
        <x:v>Cybersecurity &amp; Digital Forensics</x:v>
      </x:c>
      <x:c r="F11" s="51" t="str">
        <x:v>Document intelligence and compliance</x:v>
      </x:c>
      <x:c r="G11" s="51" t="str">
        <x:v>Cybersecurity or reverse-engineering specialist</x:v>
      </x:c>
      <x:c r="H11" s="51" t="str">
        <x:v>Professional and related</x:v>
      </x:c>
      <x:c r="I11" s="52" t="n">
        <x:v>1.15</x:v>
      </x:c>
      <x:c r="J11" s="51" t="str">
        <x:v>Structured data artifact</x:v>
      </x:c>
      <x:c r="K11" s="43" t="n">
        <x:v>13</x:v>
      </x:c>
      <x:c r="L11" s="43" t="n">
        <x:v>24</x:v>
      </x:c>
      <x:c r="M11" s="43" t="n">
        <x:v>43</x:v>
      </x:c>
      <x:c r="N11" s="43" t="n">
        <x:v>52</x:v>
      </x:c>
      <x:c r="O11" s="44" t="n">
        <x:f>INDEX('Assumptions'!$B$24:$B$29,MATCH(H11,'Assumptions'!$A$24:$A$29,0))*I11</x:f>
        <x:v>83.93849999999999</x:v>
      </x:c>
      <x:c r="P11" s="41" t="str">
        <x:v>High</x:v>
      </x:c>
      <x:c r="Q11" s="45" t="n">
        <x:f>INDEX('Assumptions'!$B$18:$B$21,MATCH(P11,'Assumptions'!$A$18:$A$21,0))</x:f>
        <x:v>1.6</x:v>
      </x:c>
      <x:c r="R11" s="46" t="n">
        <x:v>0.28</x:v>
      </x:c>
      <x:c r="S11" s="47" t="n">
        <x:f>L11*R11</x:f>
        <x:v>6.720000000000001</x:v>
      </x:c>
      <x:c r="T11" s="48" t="n">
        <x:v>5</x:v>
      </x:c>
      <x:c r="U11" s="41" t="n">
        <x:v>5</x:v>
      </x:c>
      <x:c r="V11" s="41" t="n">
        <x:v>82</x:v>
      </x:c>
      <x:c r="W11" s="49" t="n">
        <x:f>V11/100*'Assumptions'!$B$9</x:f>
        <x:v>0.287</x:v>
      </x:c>
      <x:c r="X11" s="49" t="n">
        <x:f>MIN('Assumptions'!$B$11,V11/100*'Assumptions'!$B$10)</x:f>
        <x:v>0.6396</x:v>
      </x:c>
      <x:c r="Y11" s="41" t="n">
        <x:v>80</x:v>
      </x:c>
      <x:c r="Z11" s="41" t="n">
        <x:v>78</x:v>
      </x:c>
      <x:c r="AA11" s="50" t="n">
        <x:f>K11*O11*Q11</x:f>
        <x:v>1745.9207999999999</x:v>
      </x:c>
      <x:c r="AB11" s="50" t="n">
        <x:f>L11*O11*Q11</x:f>
        <x:v>3223.2384</x:v>
      </x:c>
      <x:c r="AC11" s="50" t="n">
        <x:f>M11*O11*Q11</x:f>
        <x:v>5774.9688</x:v>
      </x:c>
      <x:c r="AD11" s="50" t="n">
        <x:f>AB11*N11</x:f>
        <x:v>167608.39680000002</x:v>
      </x:c>
      <x:c r="AE11" s="50" t="n">
        <x:f>MAX(0,N11*(AB11*W11-S11*O11-T11))</x:f>
        <x:v>18512.140441599997</x:v>
      </x:c>
      <x:c r="AF11" s="50" t="n">
        <x:f>MAX(0,N11*(AB11*X11-S11*O11-T11))</x:f>
        <x:v>77610.86115328</x:v>
      </x:c>
      <x:c r="AG11" s="47" t="n">
        <x:f>(RANK.EQ(AD11,$AD$5:$AD$157,1)-1)/(COUNT($AD$5:$AD$157)-1)*100</x:f>
        <x:v>84.21052631578947</x:v>
      </x:c>
      <x:c r="AH11" s="47" t="n">
        <x:f>MAX(0,MIN(100,AG11*'Assumptions'!$B$5+V11*'Assumptions'!$B$6+Y11*'Assumptions'!$B$7+Z11*'Assumptions'!$B$8-(Q11-1)*'Assumptions'!$B$12))</x:f>
        <x:v>76.45263157894736</x:v>
      </x:c>
      <x:c r="AI11" s="51" t="str">
        <x:v>Medium</x:v>
      </x:c>
      <x:c r="AJ11" s="51" t="str">
        <x:v>Organizations need repeatable extraction and evidence workflows across inconsistent source formats.</x:v>
      </x:c>
      <x:c r="AK11" s="53" t="str">
        <x:f>IF(AND(AH11&gt;=75,V11&gt;=65,Z11&gt;=60),"Build now",IF(AND(AH11&gt;=60,V11&gt;=50),"Validate next",IF(AH11&gt;=50,"Partner or monitor","Deprioritize")))</x:f>
        <x:v>Build now</x:v>
      </x:c>
      <x:c r="AL11" s="51" t="str">
        <x:v>Commodity automation exists for most of the work unit.</x:v>
      </x:c>
      <x:c r="AM11" s="51" t="str">
        <x:v>/Users/jaibhagat/code/prismml/agents-last-exam/tasks/computing_math/pcap_enterprise_triage_01/task_card.json</x:v>
      </x:c>
    </x:row>
    <x:row r="12">
      <x:c r="A12" s="40" t="n">
        <x:f>COUNTIF($AH$5:$AH$157,"&gt;"&amp;AH12)+COUNTIF($AH$5:AH12,AH12)</x:f>
        <x:v>8</x:v>
      </x:c>
      <x:c r="B12" s="51" t="str">
        <x:v>life_sciences/amber_three_stage_mmgbsa_workflow_instance_1</x:v>
      </x:c>
      <x:c r="C12" s="51" t="str">
        <x:v>Amber Three-Stage MMGBSA Workflow Authoring</x:v>
      </x:c>
      <x:c r="D12" s="51" t="str">
        <x:v>life_sciences</x:v>
      </x:c>
      <x:c r="E12" s="51" t="str">
        <x:v>Biomolecular Structure &amp; Design</x:v>
      </x:c>
      <x:c r="F12" s="51" t="str">
        <x:v>Document intelligence and compliance</x:v>
      </x:c>
      <x:c r="G12" s="51" t="str">
        <x:v>Bioinformatics or life-science researcher</x:v>
      </x:c>
      <x:c r="H12" s="51" t="str">
        <x:v>Professional and related</x:v>
      </x:c>
      <x:c r="I12" s="52" t="n">
        <x:v>1.25</x:v>
      </x:c>
      <x:c r="J12" s="51" t="str">
        <x:v>Verified analytical output</x:v>
      </x:c>
      <x:c r="K12" s="43" t="n">
        <x:v>20</x:v>
      </x:c>
      <x:c r="L12" s="43" t="n">
        <x:v>36</x:v>
      </x:c>
      <x:c r="M12" s="43" t="n">
        <x:v>65</x:v>
      </x:c>
      <x:c r="N12" s="43" t="n">
        <x:v>52</x:v>
      </x:c>
      <x:c r="O12" s="44" t="n">
        <x:f>INDEX('Assumptions'!$B$24:$B$29,MATCH(H12,'Assumptions'!$A$24:$A$29,0))*I12</x:f>
        <x:v>91.2375</x:v>
      </x:c>
      <x:c r="P12" s="41" t="str">
        <x:v>Medium</x:v>
      </x:c>
      <x:c r="Q12" s="45" t="n">
        <x:f>INDEX('Assumptions'!$B$18:$B$21,MATCH(P12,'Assumptions'!$A$18:$A$21,0))</x:f>
        <x:v>1.25</x:v>
      </x:c>
      <x:c r="R12" s="46" t="n">
        <x:v>0.18</x:v>
      </x:c>
      <x:c r="S12" s="47" t="n">
        <x:f>L12*R12</x:f>
        <x:v>6.4799999999999995</x:v>
      </x:c>
      <x:c r="T12" s="48" t="n">
        <x:v>5</x:v>
      </x:c>
      <x:c r="U12" s="41" t="n">
        <x:v>4</x:v>
      </x:c>
      <x:c r="V12" s="41" t="n">
        <x:v>72</x:v>
      </x:c>
      <x:c r="W12" s="49" t="n">
        <x:f>V12/100*'Assumptions'!$B$9</x:f>
        <x:v>0.252</x:v>
      </x:c>
      <x:c r="X12" s="49" t="n">
        <x:f>MIN('Assumptions'!$B$11,V12/100*'Assumptions'!$B$10)</x:f>
        <x:v>0.5616</x:v>
      </x:c>
      <x:c r="Y12" s="41" t="n">
        <x:v>76</x:v>
      </x:c>
      <x:c r="Z12" s="41" t="n">
        <x:v>77</x:v>
      </x:c>
      <x:c r="AA12" s="50" t="n">
        <x:f>K12*O12*Q12</x:f>
        <x:v>2280.9375</x:v>
      </x:c>
      <x:c r="AB12" s="50" t="n">
        <x:f>L12*O12*Q12</x:f>
        <x:v>4105.6875</x:v>
      </x:c>
      <x:c r="AC12" s="50" t="n">
        <x:f>M12*O12*Q12</x:f>
        <x:v>7413.046875</x:v>
      </x:c>
      <x:c r="AD12" s="50" t="n">
        <x:f>AB12*N12</x:f>
        <x:v>213495.75</x:v>
      </x:c>
      <x:c r="AE12" s="50" t="n">
        <x:f>MAX(0,N12*(AB12*W12-S12*O12-T12))</x:f>
        <x:v>22797.54100000001</x:v>
      </x:c>
      <x:c r="AF12" s="50" t="n">
        <x:f>MAX(0,N12*(AB12*X12-S12*O12-T12))</x:f>
        <x:v>88895.8252</x:v>
      </x:c>
      <x:c r="AG12" s="47" t="n">
        <x:f>(RANK.EQ(AD12,$AD$5:$AD$157,1)-1)/(COUNT($AD$5:$AD$157)-1)*100</x:f>
        <x:v>89.47368421052632</x:v>
      </x:c>
      <x:c r="AH12" s="47" t="n">
        <x:f>MAX(0,MIN(100,AG12*'Assumptions'!$B$5+V12*'Assumptions'!$B$6+Y12*'Assumptions'!$B$7+Z12*'Assumptions'!$B$8-(Q12-1)*'Assumptions'!$B$12))</x:f>
        <x:v>76.36842105263158</x:v>
      </x:c>
      <x:c r="AI12" s="51" t="str">
        <x:v>Medium</x:v>
      </x:c>
      <x:c r="AJ12" s="51" t="str">
        <x:v>Organizations need repeatable extraction and evidence workflows across inconsistent source formats.</x:v>
      </x:c>
      <x:c r="AK12" s="53" t="str">
        <x:f>IF(AND(AH12&gt;=75,V12&gt;=65,Z12&gt;=60),"Build now",IF(AND(AH12&gt;=60,V12&gt;=50),"Validate next",IF(AH12&gt;=50,"Partner or monitor","Deprioritize")))</x:f>
        <x:v>Build now</x:v>
      </x:c>
      <x:c r="AL12" s="51" t="str">
        <x:v>Production automation is feasible for standard cases with exception routing.</x:v>
      </x:c>
      <x:c r="AM12" s="51" t="str">
        <x:v>/Users/jaibhagat/code/prismml/agents-last-exam/tasks/life_sciences/amber_three_stage_mmgbsa_workflow_instance_1/task_card.json</x:v>
      </x:c>
    </x:row>
    <x:row r="13">
      <x:c r="A13" s="40" t="n">
        <x:f>COUNTIF($AH$5:$AH$157,"&gt;"&amp;AH13)+COUNTIF($AH$5:AH13,AH13)</x:f>
        <x:v>9</x:v>
      </x:c>
      <x:c r="B13" s="51" t="str">
        <x:v>life_sciences/rgi_mcr1_colistin_v2</x:v>
      </x:c>
      <x:c r="C13" s="51" t="str">
        <x:v>RGI Contig Resistance Annotation</x:v>
      </x:c>
      <x:c r="D13" s="51" t="str">
        <x:v>life_sciences</x:v>
      </x:c>
      <x:c r="E13" s="51" t="str">
        <x:v>Systems &amp; Microbial Biology</x:v>
      </x:c>
      <x:c r="F13" s="51" t="str">
        <x:v>Document intelligence and compliance</x:v>
      </x:c>
      <x:c r="G13" s="51" t="str">
        <x:v>Bioinformatics or life-science researcher</x:v>
      </x:c>
      <x:c r="H13" s="51" t="str">
        <x:v>Professional and related</x:v>
      </x:c>
      <x:c r="I13" s="52" t="n">
        <x:v>1.25</x:v>
      </x:c>
      <x:c r="J13" s="51" t="str">
        <x:v>Structured data artifact</x:v>
      </x:c>
      <x:c r="K13" s="43" t="n">
        <x:v>10</x:v>
      </x:c>
      <x:c r="L13" s="43" t="n">
        <x:v>18</x:v>
      </x:c>
      <x:c r="M13" s="43" t="n">
        <x:v>32</x:v>
      </x:c>
      <x:c r="N13" s="43" t="n">
        <x:v>52</x:v>
      </x:c>
      <x:c r="O13" s="44" t="n">
        <x:f>INDEX('Assumptions'!$B$24:$B$29,MATCH(H13,'Assumptions'!$A$24:$A$29,0))*I13</x:f>
        <x:v>91.2375</x:v>
      </x:c>
      <x:c r="P13" s="41" t="str">
        <x:v>Medium</x:v>
      </x:c>
      <x:c r="Q13" s="45" t="n">
        <x:f>INDEX('Assumptions'!$B$18:$B$21,MATCH(P13,'Assumptions'!$A$18:$A$21,0))</x:f>
        <x:v>1.25</x:v>
      </x:c>
      <x:c r="R13" s="46" t="n">
        <x:v>0.18</x:v>
      </x:c>
      <x:c r="S13" s="47" t="n">
        <x:f>L13*R13</x:f>
        <x:v>3.2399999999999998</x:v>
      </x:c>
      <x:c r="T13" s="48" t="n">
        <x:v>5</x:v>
      </x:c>
      <x:c r="U13" s="41" t="n">
        <x:v>5</x:v>
      </x:c>
      <x:c r="V13" s="41" t="n">
        <x:v>82</x:v>
      </x:c>
      <x:c r="W13" s="49" t="n">
        <x:f>V13/100*'Assumptions'!$B$9</x:f>
        <x:v>0.287</x:v>
      </x:c>
      <x:c r="X13" s="49" t="n">
        <x:f>MIN('Assumptions'!$B$11,V13/100*'Assumptions'!$B$10)</x:f>
        <x:v>0.6396</x:v>
      </x:c>
      <x:c r="Y13" s="41" t="n">
        <x:v>80</x:v>
      </x:c>
      <x:c r="Z13" s="41" t="n">
        <x:v>86</x:v>
      </x:c>
      <x:c r="AA13" s="50" t="n">
        <x:f>K13*O13*Q13</x:f>
        <x:v>1140.46875</x:v>
      </x:c>
      <x:c r="AB13" s="50" t="n">
        <x:f>L13*O13*Q13</x:f>
        <x:v>2052.84375</x:v>
      </x:c>
      <x:c r="AC13" s="50" t="n">
        <x:f>M13*O13*Q13</x:f>
        <x:v>3649.5</x:v>
      </x:c>
      <x:c r="AD13" s="50" t="n">
        <x:f>AB13*N13</x:f>
        <x:v>106747.875</x:v>
      </x:c>
      <x:c r="AE13" s="50" t="n">
        <x:f>MAX(0,N13*(AB13*W13-S13*O13-T13))</x:f>
        <x:v>15004.946125</x:v>
      </x:c>
      <x:c r="AF13" s="50" t="n">
        <x:f>MAX(0,N13*(AB13*X13-S13*O13-T13))</x:f>
        <x:v>52644.24684999999</x:v>
      </x:c>
      <x:c r="AG13" s="47" t="n">
        <x:f>(RANK.EQ(AD13,$AD$5:$AD$157,1)-1)/(COUNT($AD$5:$AD$157)-1)*100</x:f>
        <x:v>65.78947368421053</x:v>
      </x:c>
      <x:c r="AH13" s="47" t="n">
        <x:f>MAX(0,MIN(100,AG13*'Assumptions'!$B$5+V13*'Assumptions'!$B$6+Y13*'Assumptions'!$B$7+Z13*'Assumptions'!$B$8-(Q13-1)*'Assumptions'!$B$12))</x:f>
        <x:v>76.24736842105263</x:v>
      </x:c>
      <x:c r="AI13" s="51" t="str">
        <x:v>Medium</x:v>
      </x:c>
      <x:c r="AJ13" s="51" t="str">
        <x:v>Organizations need repeatable extraction and evidence workflows across inconsistent source formats.</x:v>
      </x:c>
      <x:c r="AK13" s="53" t="str">
        <x:f>IF(AND(AH13&gt;=75,V13&gt;=65,Z13&gt;=60),"Build now",IF(AND(AH13&gt;=60,V13&gt;=50),"Validate next",IF(AH13&gt;=50,"Partner or monitor","Deprioritize")))</x:f>
        <x:v>Build now</x:v>
      </x:c>
      <x:c r="AL13" s="51" t="str">
        <x:v>Commodity automation exists for most of the work unit.</x:v>
      </x:c>
      <x:c r="AM13" s="51" t="str">
        <x:v>/Users/jaibhagat/code/prismml/agents-last-exam/tasks/life_sciences/rgi_mcr1_colistin_v2/task_card.json</x:v>
      </x:c>
    </x:row>
    <x:row r="14">
      <x:c r="A14" s="40" t="n">
        <x:f>COUNTIF($AH$5:$AH$157,"&gt;"&amp;AH14)+COUNTIF($AH$5:AH14,AH14)</x:f>
        <x:v>10</x:v>
      </x:c>
      <x:c r="B14" s="51" t="str">
        <x:v>legal/agora_governance_classify_instance_1</x:v>
      </x:c>
      <x:c r="C14" s="51" t="str">
        <x:v>AGORA AI Governance Document Classification</x:v>
      </x:c>
      <x:c r="D14" s="51" t="str">
        <x:v>legal</x:v>
      </x:c>
      <x:c r="E14" s="51" t="str">
        <x:v>Compliance &amp; Regulatory</x:v>
      </x:c>
      <x:c r="F14" s="51" t="str">
        <x:v>Document intelligence and compliance</x:v>
      </x:c>
      <x:c r="G14" s="51" t="str">
        <x:v>Legal analyst or paralegal</x:v>
      </x:c>
      <x:c r="H14" s="51" t="str">
        <x:v>Professional and related</x:v>
      </x:c>
      <x:c r="I14" s="52" t="n">
        <x:v>1.4</x:v>
      </x:c>
      <x:c r="J14" s="51" t="str">
        <x:v>Structured data artifact</x:v>
      </x:c>
      <x:c r="K14" s="43" t="n">
        <x:v>10</x:v>
      </x:c>
      <x:c r="L14" s="43" t="n">
        <x:v>18</x:v>
      </x:c>
      <x:c r="M14" s="43" t="n">
        <x:v>32</x:v>
      </x:c>
      <x:c r="N14" s="43" t="n">
        <x:v>52</x:v>
      </x:c>
      <x:c r="O14" s="44" t="n">
        <x:f>INDEX('Assumptions'!$B$24:$B$29,MATCH(H14,'Assumptions'!$A$24:$A$29,0))*I14</x:f>
        <x:v>102.18599999999999</x:v>
      </x:c>
      <x:c r="P14" s="41" t="str">
        <x:v>High</x:v>
      </x:c>
      <x:c r="Q14" s="45" t="n">
        <x:f>INDEX('Assumptions'!$B$18:$B$21,MATCH(P14,'Assumptions'!$A$18:$A$21,0))</x:f>
        <x:v>1.6</x:v>
      </x:c>
      <x:c r="R14" s="46" t="n">
        <x:v>0.28</x:v>
      </x:c>
      <x:c r="S14" s="47" t="n">
        <x:f>L14*R14</x:f>
        <x:v>5.040000000000001</x:v>
      </x:c>
      <x:c r="T14" s="48" t="n">
        <x:v>5</x:v>
      </x:c>
      <x:c r="U14" s="41" t="n">
        <x:v>5</x:v>
      </x:c>
      <x:c r="V14" s="41" t="n">
        <x:v>82</x:v>
      </x:c>
      <x:c r="W14" s="49" t="n">
        <x:f>V14/100*'Assumptions'!$B$9</x:f>
        <x:v>0.287</x:v>
      </x:c>
      <x:c r="X14" s="49" t="n">
        <x:f>MIN('Assumptions'!$B$11,V14/100*'Assumptions'!$B$10)</x:f>
        <x:v>0.6396</x:v>
      </x:c>
      <x:c r="Y14" s="41" t="n">
        <x:v>85</x:v>
      </x:c>
      <x:c r="Z14" s="41" t="n">
        <x:v>73</x:v>
      </x:c>
      <x:c r="AA14" s="50" t="n">
        <x:f>K14*O14*Q14</x:f>
        <x:v>1634.9759999999999</x:v>
      </x:c>
      <x:c r="AB14" s="50" t="n">
        <x:f>L14*O14*Q14</x:f>
        <x:v>2942.9568</x:v>
      </x:c>
      <x:c r="AC14" s="50" t="n">
        <x:f>M14*O14*Q14</x:f>
        <x:v>5231.9232</x:v>
      </x:c>
      <x:c r="AD14" s="50" t="n">
        <x:f>AB14*N14</x:f>
        <x:v>153033.7536</x:v>
      </x:c>
      <x:c r="AE14" s="50" t="n">
        <x:f>MAX(0,N14*(AB14*W14-S14*O14-T14))</x:f>
        <x:v>16879.78040319999</x:v>
      </x:c>
      <x:c r="AF14" s="50" t="n">
        <x:f>MAX(0,N14*(AB14*X14-S14*O14-T14))</x:f>
        <x:v>70839.48192255998</x:v>
      </x:c>
      <x:c r="AG14" s="47" t="n">
        <x:f>(RANK.EQ(AD14,$AD$5:$AD$157,1)-1)/(COUNT($AD$5:$AD$157)-1)*100</x:f>
        <x:v>82.23684210526315</x:v>
      </x:c>
      <x:c r="AH14" s="47" t="n">
        <x:f>MAX(0,MIN(100,AG14*'Assumptions'!$B$5+V14*'Assumptions'!$B$6+Y14*'Assumptions'!$B$7+Z14*'Assumptions'!$B$8-(Q14-1)*'Assumptions'!$B$12))</x:f>
        <x:v>76.2092105263158</x:v>
      </x:c>
      <x:c r="AI14" s="51" t="str">
        <x:v>Medium</x:v>
      </x:c>
      <x:c r="AJ14" s="51" t="str">
        <x:v>Domain-specific document work needs reliable citations, schemas, and review routing rather than generic chat.</x:v>
      </x:c>
      <x:c r="AK14" s="53" t="str">
        <x:f>IF(AND(AH14&gt;=75,V14&gt;=65,Z14&gt;=60),"Build now",IF(AND(AH14&gt;=60,V14&gt;=50),"Validate next",IF(AH14&gt;=50,"Partner or monitor","Deprioritize")))</x:f>
        <x:v>Build now</x:v>
      </x:c>
      <x:c r="AL14" s="51" t="str">
        <x:v>Commodity automation exists for most of the work unit.</x:v>
      </x:c>
      <x:c r="AM14" s="51" t="str">
        <x:v>/Users/jaibhagat/code/prismml/agents-last-exam/tasks/legal/agora_governance_classify_instance_1/task_card.json</x:v>
      </x:c>
    </x:row>
    <x:row r="15">
      <x:c r="A15" s="40" t="n">
        <x:f>COUNTIF($AH$5:$AH$157,"&gt;"&amp;AH15)+COUNTIF($AH$5:AH15,AH15)</x:f>
        <x:v>11</x:v>
      </x:c>
      <x:c r="B15" s="51" t="str">
        <x:v>business_finance/taxform_4_1</x:v>
      </x:c>
      <x:c r="C15" s="51" t="str">
        <x:v>Taxform 4 1</x:v>
      </x:c>
      <x:c r="D15" s="51" t="str">
        <x:v>business_finance</x:v>
      </x:c>
      <x:c r="E15" s="51" t="str">
        <x:v>Accounting &amp; Finance</x:v>
      </x:c>
      <x:c r="F15" s="51" t="str">
        <x:v>Document intelligence and compliance</x:v>
      </x:c>
      <x:c r="G15" s="51" t="str">
        <x:v>Compliance, tax, or financial reporting specialist</x:v>
      </x:c>
      <x:c r="H15" s="51" t="str">
        <x:v>Management, business, and financial</x:v>
      </x:c>
      <x:c r="I15" s="52" t="n">
        <x:v>1.15</x:v>
      </x:c>
      <x:c r="J15" s="51" t="str">
        <x:v>Structured data artifact</x:v>
      </x:c>
      <x:c r="K15" s="43" t="n">
        <x:v>10</x:v>
      </x:c>
      <x:c r="L15" s="43" t="n">
        <x:v>18</x:v>
      </x:c>
      <x:c r="M15" s="43" t="n">
        <x:v>32</x:v>
      </x:c>
      <x:c r="N15" s="43" t="n">
        <x:v>52</x:v>
      </x:c>
      <x:c r="O15" s="44" t="n">
        <x:f>INDEX('Assumptions'!$B$24:$B$29,MATCH(H15,'Assumptions'!$A$24:$A$29,0))*I15</x:f>
        <x:v>100.84349999999999</x:v>
      </x:c>
      <x:c r="P15" s="41" t="str">
        <x:v>High</x:v>
      </x:c>
      <x:c r="Q15" s="45" t="n">
        <x:f>INDEX('Assumptions'!$B$18:$B$21,MATCH(P15,'Assumptions'!$A$18:$A$21,0))</x:f>
        <x:v>1.6</x:v>
      </x:c>
      <x:c r="R15" s="46" t="n">
        <x:v>0.28</x:v>
      </x:c>
      <x:c r="S15" s="47" t="n">
        <x:f>L15*R15</x:f>
        <x:v>5.040000000000001</x:v>
      </x:c>
      <x:c r="T15" s="48" t="n">
        <x:v>5</x:v>
      </x:c>
      <x:c r="U15" s="41" t="n">
        <x:v>5</x:v>
      </x:c>
      <x:c r="V15" s="41" t="n">
        <x:v>82</x:v>
      </x:c>
      <x:c r="W15" s="49" t="n">
        <x:f>V15/100*'Assumptions'!$B$9</x:f>
        <x:v>0.287</x:v>
      </x:c>
      <x:c r="X15" s="49" t="n">
        <x:f>MIN('Assumptions'!$B$11,V15/100*'Assumptions'!$B$10)</x:f>
        <x:v>0.6396</x:v>
      </x:c>
      <x:c r="Y15" s="41" t="n">
        <x:v>80</x:v>
      </x:c>
      <x:c r="Z15" s="41" t="n">
        <x:v>78</x:v>
      </x:c>
      <x:c r="AA15" s="50" t="n">
        <x:f>K15*O15*Q15</x:f>
        <x:v>1613.496</x:v>
      </x:c>
      <x:c r="AB15" s="50" t="n">
        <x:f>L15*O15*Q15</x:f>
        <x:v>2904.2927999999997</x:v>
      </x:c>
      <x:c r="AC15" s="50" t="n">
        <x:f>M15*O15*Q15</x:f>
        <x:v>5163.1872</x:v>
      </x:c>
      <x:c r="AD15" s="50" t="n">
        <x:f>AB15*N15</x:f>
        <x:v>151023.22559999998</x:v>
      </x:c>
      <x:c r="AE15" s="50" t="n">
        <x:f>MAX(0,N15*(AB15*W15-S15*O15-T15))</x:f>
        <x:v>16654.60126719999</x:v>
      </x:c>
      <x:c r="AF15" s="50" t="n">
        <x:f>MAX(0,N15*(AB15*X15-S15*O15-T15))</x:f>
        <x:v>69905.39061375998</x:v>
      </x:c>
      <x:c r="AG15" s="47" t="n">
        <x:f>(RANK.EQ(AD15,$AD$5:$AD$157,1)-1)/(COUNT($AD$5:$AD$157)-1)*100</x:f>
        <x:v>81.57894736842105</x:v>
      </x:c>
      <x:c r="AH15" s="47" t="n">
        <x:f>MAX(0,MIN(100,AG15*'Assumptions'!$B$5+V15*'Assumptions'!$B$6+Y15*'Assumptions'!$B$7+Z15*'Assumptions'!$B$8-(Q15-1)*'Assumptions'!$B$12))</x:f>
        <x:v>75.79473684210525</x:v>
      </x:c>
      <x:c r="AI15" s="51" t="str">
        <x:v>Medium</x:v>
      </x:c>
      <x:c r="AJ15" s="51" t="str">
        <x:v>Domain-specific document work needs reliable citations, schemas, and review routing rather than generic chat.</x:v>
      </x:c>
      <x:c r="AK15" s="53" t="str">
        <x:f>IF(AND(AH15&gt;=75,V15&gt;=65,Z15&gt;=60),"Build now",IF(AND(AH15&gt;=60,V15&gt;=50),"Validate next",IF(AH15&gt;=50,"Partner or monitor","Deprioritize")))</x:f>
        <x:v>Build now</x:v>
      </x:c>
      <x:c r="AL15" s="51" t="str">
        <x:v>Commodity automation exists for most of the work unit.</x:v>
      </x:c>
      <x:c r="AM15" s="51" t="str">
        <x:v>/Users/jaibhagat/code/prismml/agents-last-exam/tasks/business_finance/taxform_4_1/task_card.json</x:v>
      </x:c>
    </x:row>
    <x:row r="16">
      <x:c r="A16" s="40" t="n">
        <x:f>COUNTIF($AH$5:$AH$157,"&gt;"&amp;AH16)+COUNTIF($AH$5:AH16,AH16)</x:f>
        <x:v>12</x:v>
      </x:c>
      <x:c r="B16" s="51" t="str">
        <x:v>business_finance/sse_northbound_programmatic_trading_01</x:v>
      </x:c>
      <x:c r="C16" s="51" t="str">
        <x:v>SSE Northbound Programmatic Trading Research</x:v>
      </x:c>
      <x:c r="D16" s="51" t="str">
        <x:v>business_finance</x:v>
      </x:c>
      <x:c r="E16" s="51" t="str">
        <x:v>Compliance &amp; Regulatory</x:v>
      </x:c>
      <x:c r="F16" s="51" t="str">
        <x:v>Document intelligence and compliance</x:v>
      </x:c>
      <x:c r="G16" s="51" t="str">
        <x:v>Financial or operations analyst</x:v>
      </x:c>
      <x:c r="H16" s="51" t="str">
        <x:v>Management, business, and financial</x:v>
      </x:c>
      <x:c r="I16" s="52" t="n">
        <x:v>1.15</x:v>
      </x:c>
      <x:c r="J16" s="51" t="str">
        <x:v>Structured data artifact</x:v>
      </x:c>
      <x:c r="K16" s="43" t="n">
        <x:v>13</x:v>
      </x:c>
      <x:c r="L16" s="43" t="n">
        <x:v>24</x:v>
      </x:c>
      <x:c r="M16" s="43" t="n">
        <x:v>43</x:v>
      </x:c>
      <x:c r="N16" s="43" t="n">
        <x:v>24</x:v>
      </x:c>
      <x:c r="O16" s="44" t="n">
        <x:f>INDEX('Assumptions'!$B$24:$B$29,MATCH(H16,'Assumptions'!$A$24:$A$29,0))*I16</x:f>
        <x:v>100.84349999999999</x:v>
      </x:c>
      <x:c r="P16" s="41" t="str">
        <x:v>High</x:v>
      </x:c>
      <x:c r="Q16" s="45" t="n">
        <x:f>INDEX('Assumptions'!$B$18:$B$21,MATCH(P16,'Assumptions'!$A$18:$A$21,0))</x:f>
        <x:v>1.6</x:v>
      </x:c>
      <x:c r="R16" s="46" t="n">
        <x:v>0.28</x:v>
      </x:c>
      <x:c r="S16" s="47" t="n">
        <x:f>L16*R16</x:f>
        <x:v>6.720000000000001</x:v>
      </x:c>
      <x:c r="T16" s="48" t="n">
        <x:v>5</x:v>
      </x:c>
      <x:c r="U16" s="41" t="n">
        <x:v>5</x:v>
      </x:c>
      <x:c r="V16" s="41" t="n">
        <x:v>92</x:v>
      </x:c>
      <x:c r="W16" s="49" t="n">
        <x:f>V16/100*'Assumptions'!$B$9</x:f>
        <x:v>0.322</x:v>
      </x:c>
      <x:c r="X16" s="49" t="n">
        <x:f>MIN('Assumptions'!$B$11,V16/100*'Assumptions'!$B$10)</x:f>
        <x:v>0.7176</x:v>
      </x:c>
      <x:c r="Y16" s="41" t="n">
        <x:v>88</x:v>
      </x:c>
      <x:c r="Z16" s="41" t="n">
        <x:v>78</x:v>
      </x:c>
      <x:c r="AA16" s="50" t="n">
        <x:f>K16*O16*Q16</x:f>
        <x:v>2097.5447999999997</x:v>
      </x:c>
      <x:c r="AB16" s="50" t="n">
        <x:f>L16*O16*Q16</x:f>
        <x:v>3872.3903999999998</x:v>
      </x:c>
      <x:c r="AC16" s="50" t="n">
        <x:f>M16*O16*Q16</x:f>
        <x:v>6938.0328</x:v>
      </x:c>
      <x:c r="AD16" s="50" t="n">
        <x:f>AB16*N16</x:f>
        <x:v>92937.36959999999</x:v>
      </x:c>
      <x:c r="AE16" s="50" t="n">
        <x:f>MAX(0,N16*(AB16*W16-S16*O16-T16))</x:f>
        <x:v>13541.793331199997</x:v>
      </x:c>
      <x:c r="AF16" s="50" t="n">
        <x:f>MAX(0,N16*(AB16*X16-S16*O16-T16))</x:f>
        <x:v>50307.81674495999</x:v>
      </x:c>
      <x:c r="AG16" s="47" t="n">
        <x:f>(RANK.EQ(AD16,$AD$5:$AD$157,1)-1)/(COUNT($AD$5:$AD$157)-1)*100</x:f>
        <x:v>60.526315789473685</x:v>
      </x:c>
      <x:c r="AH16" s="47" t="n">
        <x:f>MAX(0,MIN(100,AG16*'Assumptions'!$B$5+V16*'Assumptions'!$B$6+Y16*'Assumptions'!$B$7+Z16*'Assumptions'!$B$8-(Q16-1)*'Assumptions'!$B$12))</x:f>
        <x:v>75.53157894736843</x:v>
      </x:c>
      <x:c r="AI16" s="51" t="str">
        <x:v>Medium</x:v>
      </x:c>
      <x:c r="AJ16" s="51" t="str">
        <x:v>Private, multilingual document work with structured evidence and audit trails is underserved.</x:v>
      </x:c>
      <x:c r="AK16" s="53" t="str">
        <x:f>IF(AND(AH16&gt;=75,V16&gt;=65,Z16&gt;=60),"Build now",IF(AND(AH16&gt;=60,V16&gt;=50),"Validate next",IF(AH16&gt;=50,"Partner or monitor","Deprioritize")))</x:f>
        <x:v>Build now</x:v>
      </x:c>
      <x:c r="AL16" s="51" t="str">
        <x:v>Commodity automation exists for most of the work unit.</x:v>
      </x:c>
      <x:c r="AM16" s="51" t="str">
        <x:v>/Users/jaibhagat/code/prismml/agents-last-exam/tasks/business_finance/sse_northbound_programmatic_trading_01/task_card.json</x:v>
      </x:c>
    </x:row>
    <x:row r="17">
      <x:c r="A17" s="40" t="n">
        <x:f>COUNTIF($AH$5:$AH$157,"&gt;"&amp;AH17)+COUNTIF($AH$5:AH17,AH17)</x:f>
        <x:v>13</x:v>
      </x:c>
      <x:c r="B17" s="51" t="str">
        <x:v>health_medicine/healthcare_sap_group_sequential_nsclc</x:v>
      </x:c>
      <x:c r="C17" s="51" t="str">
        <x:v>NSCLC Group-Sequential SAP</x:v>
      </x:c>
      <x:c r="D17" s="51" t="str">
        <x:v>health_medicine</x:v>
      </x:c>
      <x:c r="E17" s="51" t="str">
        <x:v>Clinical Research &amp; Trial Operations</x:v>
      </x:c>
      <x:c r="F17" s="51" t="str">
        <x:v>Document intelligence and compliance</x:v>
      </x:c>
      <x:c r="G17" s="51" t="str">
        <x:v>Clinical data scientist or medical specialist</x:v>
      </x:c>
      <x:c r="H17" s="51" t="str">
        <x:v>Professional and related</x:v>
      </x:c>
      <x:c r="I17" s="52" t="n">
        <x:v>1.3</x:v>
      </x:c>
      <x:c r="J17" s="51" t="str">
        <x:v>Structured data artifact</x:v>
      </x:c>
      <x:c r="K17" s="43" t="n">
        <x:v>20</x:v>
      </x:c>
      <x:c r="L17" s="43" t="n">
        <x:v>36</x:v>
      </x:c>
      <x:c r="M17" s="43" t="n">
        <x:v>65</x:v>
      </x:c>
      <x:c r="N17" s="43" t="n">
        <x:v>24</x:v>
      </x:c>
      <x:c r="O17" s="44" t="n">
        <x:f>INDEX('Assumptions'!$B$24:$B$29,MATCH(H17,'Assumptions'!$A$24:$A$29,0))*I17</x:f>
        <x:v>94.887</x:v>
      </x:c>
      <x:c r="P17" s="41" t="str">
        <x:v>High</x:v>
      </x:c>
      <x:c r="Q17" s="45" t="n">
        <x:f>INDEX('Assumptions'!$B$18:$B$21,MATCH(P17,'Assumptions'!$A$18:$A$21,0))</x:f>
        <x:v>1.6</x:v>
      </x:c>
      <x:c r="R17" s="46" t="n">
        <x:v>0.28</x:v>
      </x:c>
      <x:c r="S17" s="47" t="n">
        <x:f>L17*R17</x:f>
        <x:v>10.080000000000002</x:v>
      </x:c>
      <x:c r="T17" s="48" t="n">
        <x:v>5</x:v>
      </x:c>
      <x:c r="U17" s="41" t="n">
        <x:v>5</x:v>
      </x:c>
      <x:c r="V17" s="41" t="n">
        <x:v>82</x:v>
      </x:c>
      <x:c r="W17" s="49" t="n">
        <x:f>V17/100*'Assumptions'!$B$9</x:f>
        <x:v>0.287</x:v>
      </x:c>
      <x:c r="X17" s="49" t="n">
        <x:f>MIN('Assumptions'!$B$11,V17/100*'Assumptions'!$B$10)</x:f>
        <x:v>0.6396</x:v>
      </x:c>
      <x:c r="Y17" s="41" t="n">
        <x:v>88</x:v>
      </x:c>
      <x:c r="Z17" s="41" t="n">
        <x:v>73</x:v>
      </x:c>
      <x:c r="AA17" s="50" t="n">
        <x:f>K17*O17*Q17</x:f>
        <x:v>3036.384</x:v>
      </x:c>
      <x:c r="AB17" s="50" t="n">
        <x:f>L17*O17*Q17</x:f>
        <x:v>5465.4912</x:v>
      </x:c>
      <x:c r="AC17" s="50" t="n">
        <x:f>M17*O17*Q17</x:f>
        <x:v>9868.248</x:v>
      </x:c>
      <x:c r="AD17" s="50" t="n">
        <x:f>AB17*N17</x:f>
        <x:v>131171.7888</x:v>
      </x:c>
      <x:c r="AE17" s="50" t="n">
        <x:f>MAX(0,N17*(AB17*W17-S17*O17-T17))</x:f>
        <x:v>14571.240345599992</x:v>
      </x:c>
      <x:c r="AF17" s="50" t="n">
        <x:f>MAX(0,N17*(AB17*X17-S17*O17-T17))</x:f>
        <x:v>60822.41307647999</x:v>
      </x:c>
      <x:c r="AG17" s="47" t="n">
        <x:f>(RANK.EQ(AD17,$AD$5:$AD$157,1)-1)/(COUNT($AD$5:$AD$157)-1)*100</x:f>
        <x:v>76.31578947368422</x:v>
      </x:c>
      <x:c r="AH17" s="47" t="n">
        <x:f>MAX(0,MIN(100,AG17*'Assumptions'!$B$5+V17*'Assumptions'!$B$6+Y17*'Assumptions'!$B$7+Z17*'Assumptions'!$B$8-(Q17-1)*'Assumptions'!$B$12))</x:f>
        <x:v>75.47894736842106</x:v>
      </x:c>
      <x:c r="AI17" s="51" t="str">
        <x:v>Medium</x:v>
      </x:c>
      <x:c r="AJ17" s="51" t="str">
        <x:v>Domain-specific document work needs reliable citations, schemas, and review routing rather than generic chat.</x:v>
      </x:c>
      <x:c r="AK17" s="53" t="str">
        <x:f>IF(AND(AH17&gt;=75,V17&gt;=65,Z17&gt;=60),"Build now",IF(AND(AH17&gt;=60,V17&gt;=50),"Validate next",IF(AH17&gt;=50,"Partner or monitor","Deprioritize")))</x:f>
        <x:v>Build now</x:v>
      </x:c>
      <x:c r="AL17" s="51" t="str">
        <x:v>Commodity automation exists for most of the work unit.</x:v>
      </x:c>
      <x:c r="AM17" s="51" t="str">
        <x:v>/Users/jaibhagat/code/prismml/agents-last-exam/tasks/health_medicine/healthcare_sap_group_sequential_nsclc/task_card.json</x:v>
      </x:c>
    </x:row>
    <x:row r="18">
      <x:c r="A18" s="40" t="n">
        <x:f>COUNTIF($AH$5:$AH$157,"&gt;"&amp;AH18)+COUNTIF($AH$5:AH18,AH18)</x:f>
        <x:v>14</x:v>
      </x:c>
      <x:c r="B18" s="51" t="str">
        <x:v>education_info/homework_grading_numerical_pdes_instance_02</x:v>
      </x:c>
      <x:c r="C18" s="51" t="str">
        <x:v>Homework Grading Numerical PDEs 02</x:v>
      </x:c>
      <x:c r="D18" s="51" t="str">
        <x:v>education_info</x:v>
      </x:c>
      <x:c r="E18" s="51" t="str">
        <x:v>Educational Technology</x:v>
      </x:c>
      <x:c r="F18" s="51" t="str">
        <x:v>Document intelligence and compliance</x:v>
      </x:c>
      <x:c r="G18" s="51" t="str">
        <x:v>Education or information specialist</x:v>
      </x:c>
      <x:c r="H18" s="51" t="str">
        <x:v>Professional and related</x:v>
      </x:c>
      <x:c r="I18" s="52" t="n">
        <x:v>1</x:v>
      </x:c>
      <x:c r="J18" s="51" t="str">
        <x:v>Structured data artifact</x:v>
      </x:c>
      <x:c r="K18" s="43" t="n">
        <x:v>13</x:v>
      </x:c>
      <x:c r="L18" s="43" t="n">
        <x:v>24</x:v>
      </x:c>
      <x:c r="M18" s="43" t="n">
        <x:v>43</x:v>
      </x:c>
      <x:c r="N18" s="43" t="n">
        <x:v>52</x:v>
      </x:c>
      <x:c r="O18" s="44" t="n">
        <x:f>INDEX('Assumptions'!$B$24:$B$29,MATCH(H18,'Assumptions'!$A$24:$A$29,0))*I18</x:f>
        <x:v>72.99</x:v>
      </x:c>
      <x:c r="P18" s="41" t="str">
        <x:v>Low</x:v>
      </x:c>
      <x:c r="Q18" s="45" t="n">
        <x:f>INDEX('Assumptions'!$B$18:$B$21,MATCH(P18,'Assumptions'!$A$18:$A$21,0))</x:f>
        <x:v>1</x:v>
      </x:c>
      <x:c r="R18" s="46" t="n">
        <x:v>0.1</x:v>
      </x:c>
      <x:c r="S18" s="47" t="n">
        <x:f>L18*R18</x:f>
        <x:v>2.4000000000000004</x:v>
      </x:c>
      <x:c r="T18" s="48" t="n">
        <x:v>5</x:v>
      </x:c>
      <x:c r="U18" s="41" t="n">
        <x:v>5</x:v>
      </x:c>
      <x:c r="V18" s="41" t="n">
        <x:v>82</x:v>
      </x:c>
      <x:c r="W18" s="49" t="n">
        <x:f>V18/100*'Assumptions'!$B$9</x:f>
        <x:v>0.287</x:v>
      </x:c>
      <x:c r="X18" s="49" t="n">
        <x:f>MIN('Assumptions'!$B$11,V18/100*'Assumptions'!$B$10)</x:f>
        <x:v>0.6396</x:v>
      </x:c>
      <x:c r="Y18" s="41" t="n">
        <x:v>80</x:v>
      </x:c>
      <x:c r="Z18" s="41" t="n">
        <x:v>81</x:v>
      </x:c>
      <x:c r="AA18" s="50" t="n">
        <x:f>K18*O18*Q18</x:f>
        <x:v>948.8699999999999</x:v>
      </x:c>
      <x:c r="AB18" s="50" t="n">
        <x:f>L18*O18*Q18</x:f>
        <x:v>1751.7599999999998</x:v>
      </x:c>
      <x:c r="AC18" s="50" t="n">
        <x:f>M18*O18*Q18</x:f>
        <x:v>3138.5699999999997</x:v>
      </x:c>
      <x:c r="AD18" s="50" t="n">
        <x:f>AB18*N18</x:f>
        <x:v>91091.51999999999</x:v>
      </x:c>
      <x:c r="AE18" s="50" t="n">
        <x:f>MAX(0,N18*(AB18*W18-S18*O18-T18))</x:f>
        <x:v>16774.114239999995</x:v>
      </x:c>
      <x:c r="AF18" s="50" t="n">
        <x:f>MAX(0,N18*(AB18*X18-S18*O18-T18))</x:f>
        <x:v>48892.98419199999</x:v>
      </x:c>
      <x:c r="AG18" s="47" t="n">
        <x:f>(RANK.EQ(AD18,$AD$5:$AD$157,1)-1)/(COUNT($AD$5:$AD$157)-1)*100</x:f>
        <x:v>57.89473684210527</x:v>
      </x:c>
      <x:c r="AH18" s="47" t="n">
        <x:f>MAX(0,MIN(100,AG18*'Assumptions'!$B$5+V18*'Assumptions'!$B$6+Y18*'Assumptions'!$B$7+Z18*'Assumptions'!$B$8-(Q18-1)*'Assumptions'!$B$12))</x:f>
        <x:v>75.27368421052631</x:v>
      </x:c>
      <x:c r="AI18" s="51" t="str">
        <x:v>Medium</x:v>
      </x:c>
      <x:c r="AJ18" s="51" t="str">
        <x:v>Organizations need repeatable extraction and evidence workflows across inconsistent source formats.</x:v>
      </x:c>
      <x:c r="AK18" s="53" t="str">
        <x:f>IF(AND(AH18&gt;=75,V18&gt;=65,Z18&gt;=60),"Build now",IF(AND(AH18&gt;=60,V18&gt;=50),"Validate next",IF(AH18&gt;=50,"Partner or monitor","Deprioritize")))</x:f>
        <x:v>Build now</x:v>
      </x:c>
      <x:c r="AL18" s="51" t="str">
        <x:v>Commodity automation exists for most of the work unit.</x:v>
      </x:c>
      <x:c r="AM18" s="51" t="str">
        <x:v>/Users/jaibhagat/code/prismml/agents-last-exam/tasks/education_info/homework_grading_numerical_pdes_instance_02/task_card.json</x:v>
      </x:c>
    </x:row>
    <x:row r="19">
      <x:c r="A19" s="40" t="n">
        <x:f>COUNTIF($AH$5:$AH$157,"&gt;"&amp;AH19)+COUNTIF($AH$5:AH19,AH19)</x:f>
        <x:v>15</x:v>
      </x:c>
      <x:c r="B19" s="51" t="str">
        <x:v>life_sciences/tms_marrow_cell_type_annotation_instance_1</x:v>
      </x:c>
      <x:c r="C19" s="51" t="str">
        <x:v>Marrow Cell Type Annotation</x:v>
      </x:c>
      <x:c r="D19" s="51" t="str">
        <x:v>life_sciences</x:v>
      </x:c>
      <x:c r="E19" s="51" t="str">
        <x:v>Cell &amp; Imaging Biology</x:v>
      </x:c>
      <x:c r="F19" s="51" t="str">
        <x:v>Structured analysis and decision support</x:v>
      </x:c>
      <x:c r="G19" s="51" t="str">
        <x:v>Bioinformatics or life-science researcher</x:v>
      </x:c>
      <x:c r="H19" s="51" t="str">
        <x:v>Professional and related</x:v>
      </x:c>
      <x:c r="I19" s="52" t="n">
        <x:v>1.25</x:v>
      </x:c>
      <x:c r="J19" s="51" t="str">
        <x:v>Structured data artifact</x:v>
      </x:c>
      <x:c r="K19" s="43" t="n">
        <x:v>18</x:v>
      </x:c>
      <x:c r="L19" s="43" t="n">
        <x:v>32</x:v>
      </x:c>
      <x:c r="M19" s="43" t="n">
        <x:v>58</x:v>
      </x:c>
      <x:c r="N19" s="43" t="n">
        <x:v>52</x:v>
      </x:c>
      <x:c r="O19" s="44" t="n">
        <x:f>INDEX('Assumptions'!$B$24:$B$29,MATCH(H19,'Assumptions'!$A$24:$A$29,0))*I19</x:f>
        <x:v>91.2375</x:v>
      </x:c>
      <x:c r="P19" s="41" t="str">
        <x:v>Medium</x:v>
      </x:c>
      <x:c r="Q19" s="45" t="n">
        <x:f>INDEX('Assumptions'!$B$18:$B$21,MATCH(P19,'Assumptions'!$A$18:$A$21,0))</x:f>
        <x:v>1.25</x:v>
      </x:c>
      <x:c r="R19" s="46" t="n">
        <x:v>0.18</x:v>
      </x:c>
      <x:c r="S19" s="47" t="n">
        <x:f>L19*R19</x:f>
        <x:v>5.76</x:v>
      </x:c>
      <x:c r="T19" s="48" t="n">
        <x:v>15</x:v>
      </x:c>
      <x:c r="U19" s="41" t="n">
        <x:v>4</x:v>
      </x:c>
      <x:c r="V19" s="41" t="n">
        <x:v>74</x:v>
      </x:c>
      <x:c r="W19" s="49" t="n">
        <x:f>V19/100*'Assumptions'!$B$9</x:f>
        <x:v>0.259</x:v>
      </x:c>
      <x:c r="X19" s="49" t="n">
        <x:f>MIN('Assumptions'!$B$11,V19/100*'Assumptions'!$B$10)</x:f>
        <x:v>0.5772</x:v>
      </x:c>
      <x:c r="Y19" s="41" t="n">
        <x:v>66</x:v>
      </x:c>
      <x:c r="Z19" s="41" t="n">
        <x:v>79</x:v>
      </x:c>
      <x:c r="AA19" s="50" t="n">
        <x:f>K19*O19*Q19</x:f>
        <x:v>2052.84375</x:v>
      </x:c>
      <x:c r="AB19" s="50" t="n">
        <x:f>L19*O19*Q19</x:f>
        <x:v>3649.5</x:v>
      </x:c>
      <x:c r="AC19" s="50" t="n">
        <x:f>M19*O19*Q19</x:f>
        <x:v>6614.71875</x:v>
      </x:c>
      <x:c r="AD19" s="50" t="n">
        <x:f>AB19*N19</x:f>
        <x:v>189774</x:v>
      </x:c>
      <x:c r="AE19" s="50" t="n">
        <x:f>MAX(0,N19*(AB19*W19-S19*O19-T19))</x:f>
        <x:v>21044.01</x:v>
      </x:c>
      <x:c r="AF19" s="50" t="n">
        <x:f>MAX(0,N19*(AB19*X19-S19*O19-T19))</x:f>
        <x:v>81430.09680000001</x:v>
      </x:c>
      <x:c r="AG19" s="47" t="n">
        <x:f>(RANK.EQ(AD19,$AD$5:$AD$157,1)-1)/(COUNT($AD$5:$AD$157)-1)*100</x:f>
        <x:v>86.8421052631579</x:v>
      </x:c>
      <x:c r="AH19" s="47" t="n">
        <x:f>MAX(0,MIN(100,AG19*'Assumptions'!$B$5+V19*'Assumptions'!$B$6+Y19*'Assumptions'!$B$7+Z19*'Assumptions'!$B$8-(Q19-1)*'Assumptions'!$B$12))</x:f>
        <x:v>74.21052631578948</x:v>
      </x:c>
      <x:c r="AI19" s="51" t="str">
        <x:v>Medium</x:v>
      </x:c>
      <x:c r="AJ19" s="51" t="str">
        <x:v>Standard analyses are partly automated, but reliable evidence, exception handling, and deliverable compliance remain gaps.</x:v>
      </x:c>
      <x:c r="AK19" s="53" t="str">
        <x:f>IF(AND(AH19&gt;=75,V19&gt;=65,Z19&gt;=60),"Build now",IF(AND(AH19&gt;=60,V19&gt;=50),"Validate next",IF(AH19&gt;=50,"Partner or monitor","Deprioritize")))</x:f>
        <x:v>Validate next</x:v>
      </x:c>
      <x:c r="AL19" s="51" t="str">
        <x:v>Production automation is feasible for standard cases with exception routing.</x:v>
      </x:c>
      <x:c r="AM19" s="51" t="str">
        <x:v>/Users/jaibhagat/code/prismml/agents-last-exam/tasks/life_sciences/tms_marrow_cell_type_annotation_instance_1/task_card.json</x:v>
      </x:c>
    </x:row>
    <x:row r="20">
      <x:c r="A20" s="40" t="n">
        <x:f>COUNTIF($AH$5:$AH$157,"&gt;"&amp;AH20)+COUNTIF($AH$5:AH20,AH20)</x:f>
        <x:v>16</x:v>
      </x:c>
      <x:c r="B20" s="51" t="str">
        <x:v>life_sciences/hg002_chr22_germline_variant_pipeline</x:v>
      </x:c>
      <x:c r="C20" s="51" t="str">
        <x:v>HG002 Chr22 Germline Variant Pipeline</x:v>
      </x:c>
      <x:c r="D20" s="51" t="str">
        <x:v>life_sciences</x:v>
      </x:c>
      <x:c r="E20" s="51" t="str">
        <x:v>Genomics &amp; Sequence Analysis</x:v>
      </x:c>
      <x:c r="F20" s="51" t="str">
        <x:v>Structured analysis and decision support</x:v>
      </x:c>
      <x:c r="G20" s="51" t="str">
        <x:v>Bioinformatics or life-science researcher</x:v>
      </x:c>
      <x:c r="H20" s="51" t="str">
        <x:v>Professional and related</x:v>
      </x:c>
      <x:c r="I20" s="52" t="n">
        <x:v>1.25</x:v>
      </x:c>
      <x:c r="J20" s="51" t="str">
        <x:v>Structured data artifact</x:v>
      </x:c>
      <x:c r="K20" s="43" t="n">
        <x:v>18</x:v>
      </x:c>
      <x:c r="L20" s="43" t="n">
        <x:v>32</x:v>
      </x:c>
      <x:c r="M20" s="43" t="n">
        <x:v>58</x:v>
      </x:c>
      <x:c r="N20" s="43" t="n">
        <x:v>52</x:v>
      </x:c>
      <x:c r="O20" s="44" t="n">
        <x:f>INDEX('Assumptions'!$B$24:$B$29,MATCH(H20,'Assumptions'!$A$24:$A$29,0))*I20</x:f>
        <x:v>91.2375</x:v>
      </x:c>
      <x:c r="P20" s="41" t="str">
        <x:v>Medium</x:v>
      </x:c>
      <x:c r="Q20" s="45" t="n">
        <x:f>INDEX('Assumptions'!$B$18:$B$21,MATCH(P20,'Assumptions'!$A$18:$A$21,0))</x:f>
        <x:v>1.25</x:v>
      </x:c>
      <x:c r="R20" s="46" t="n">
        <x:v>0.18</x:v>
      </x:c>
      <x:c r="S20" s="47" t="n">
        <x:f>L20*R20</x:f>
        <x:v>5.76</x:v>
      </x:c>
      <x:c r="T20" s="48" t="n">
        <x:v>15</x:v>
      </x:c>
      <x:c r="U20" s="41" t="n">
        <x:v>4</x:v>
      </x:c>
      <x:c r="V20" s="41" t="n">
        <x:v>74</x:v>
      </x:c>
      <x:c r="W20" s="49" t="n">
        <x:f>V20/100*'Assumptions'!$B$9</x:f>
        <x:v>0.259</x:v>
      </x:c>
      <x:c r="X20" s="49" t="n">
        <x:f>MIN('Assumptions'!$B$11,V20/100*'Assumptions'!$B$10)</x:f>
        <x:v>0.5772</x:v>
      </x:c>
      <x:c r="Y20" s="41" t="n">
        <x:v>66</x:v>
      </x:c>
      <x:c r="Z20" s="41" t="n">
        <x:v>79</x:v>
      </x:c>
      <x:c r="AA20" s="50" t="n">
        <x:f>K20*O20*Q20</x:f>
        <x:v>2052.84375</x:v>
      </x:c>
      <x:c r="AB20" s="50" t="n">
        <x:f>L20*O20*Q20</x:f>
        <x:v>3649.5</x:v>
      </x:c>
      <x:c r="AC20" s="50" t="n">
        <x:f>M20*O20*Q20</x:f>
        <x:v>6614.71875</x:v>
      </x:c>
      <x:c r="AD20" s="50" t="n">
        <x:f>AB20*N20</x:f>
        <x:v>189774</x:v>
      </x:c>
      <x:c r="AE20" s="50" t="n">
        <x:f>MAX(0,N20*(AB20*W20-S20*O20-T20))</x:f>
        <x:v>21044.01</x:v>
      </x:c>
      <x:c r="AF20" s="50" t="n">
        <x:f>MAX(0,N20*(AB20*X20-S20*O20-T20))</x:f>
        <x:v>81430.09680000001</x:v>
      </x:c>
      <x:c r="AG20" s="47" t="n">
        <x:f>(RANK.EQ(AD20,$AD$5:$AD$157,1)-1)/(COUNT($AD$5:$AD$157)-1)*100</x:f>
        <x:v>86.8421052631579</x:v>
      </x:c>
      <x:c r="AH20" s="47" t="n">
        <x:f>MAX(0,MIN(100,AG20*'Assumptions'!$B$5+V20*'Assumptions'!$B$6+Y20*'Assumptions'!$B$7+Z20*'Assumptions'!$B$8-(Q20-1)*'Assumptions'!$B$12))</x:f>
        <x:v>74.21052631578948</x:v>
      </x:c>
      <x:c r="AI20" s="51" t="str">
        <x:v>Medium</x:v>
      </x:c>
      <x:c r="AJ20" s="51" t="str">
        <x:v>Standard analyses are partly automated, but reliable evidence, exception handling, and deliverable compliance remain gaps.</x:v>
      </x:c>
      <x:c r="AK20" s="53" t="str">
        <x:f>IF(AND(AH20&gt;=75,V20&gt;=65,Z20&gt;=60),"Build now",IF(AND(AH20&gt;=60,V20&gt;=50),"Validate next",IF(AH20&gt;=50,"Partner or monitor","Deprioritize")))</x:f>
        <x:v>Validate next</x:v>
      </x:c>
      <x:c r="AL20" s="51" t="str">
        <x:v>Production automation is feasible for standard cases with exception routing.</x:v>
      </x:c>
      <x:c r="AM20" s="51" t="str">
        <x:v>/Users/jaibhagat/code/prismml/agents-last-exam/tasks/life_sciences/hg002_chr22_germline_variant_pipeline/task_card.json</x:v>
      </x:c>
    </x:row>
    <x:row r="21">
      <x:c r="A21" s="40" t="n">
        <x:f>COUNTIF($AH$5:$AH$157,"&gt;"&amp;AH21)+COUNTIF($AH$5:AH21,AH21)</x:f>
        <x:v>17</x:v>
      </x:c>
      <x:c r="B21" s="51" t="str">
        <x:v>computing_math/k8s_migration_1</x:v>
      </x:c>
      <x:c r="C21" s="51" t="str">
        <x:v>Docker Compose To Kubernetes Migration</x:v>
      </x:c>
      <x:c r="D21" s="51" t="str">
        <x:v>computing_math</x:v>
      </x:c>
      <x:c r="E21" s="51" t="str">
        <x:v>Infrastructure Engineering &amp; Cloud Operations</x:v>
      </x:c>
      <x:c r="F21" s="51" t="str">
        <x:v>Document intelligence and compliance</x:v>
      </x:c>
      <x:c r="G21" s="51" t="str">
        <x:v>Software engineer or data scientist</x:v>
      </x:c>
      <x:c r="H21" s="51" t="str">
        <x:v>Professional and related</x:v>
      </x:c>
      <x:c r="I21" s="52" t="n">
        <x:v>1.15</x:v>
      </x:c>
      <x:c r="J21" s="51" t="str">
        <x:v>Report or analytical workbook</x:v>
      </x:c>
      <x:c r="K21" s="43" t="n">
        <x:v>20</x:v>
      </x:c>
      <x:c r="L21" s="43" t="n">
        <x:v>36</x:v>
      </x:c>
      <x:c r="M21" s="43" t="n">
        <x:v>65</x:v>
      </x:c>
      <x:c r="N21" s="43" t="n">
        <x:v>52</x:v>
      </x:c>
      <x:c r="O21" s="44" t="n">
        <x:f>INDEX('Assumptions'!$B$24:$B$29,MATCH(H21,'Assumptions'!$A$24:$A$29,0))*I21</x:f>
        <x:v>83.93849999999999</x:v>
      </x:c>
      <x:c r="P21" s="41" t="str">
        <x:v>Low</x:v>
      </x:c>
      <x:c r="Q21" s="45" t="n">
        <x:f>INDEX('Assumptions'!$B$18:$B$21,MATCH(P21,'Assumptions'!$A$18:$A$21,0))</x:f>
        <x:v>1</x:v>
      </x:c>
      <x:c r="R21" s="46" t="n">
        <x:v>0.1</x:v>
      </x:c>
      <x:c r="S21" s="47" t="n">
        <x:f>L21*R21</x:f>
        <x:v>3.6</x:v>
      </x:c>
      <x:c r="T21" s="48" t="n">
        <x:v>5</x:v>
      </x:c>
      <x:c r="U21" s="41" t="n">
        <x:v>4</x:v>
      </x:c>
      <x:c r="V21" s="41" t="n">
        <x:v>72</x:v>
      </x:c>
      <x:c r="W21" s="49" t="n">
        <x:f>V21/100*'Assumptions'!$B$9</x:f>
        <x:v>0.252</x:v>
      </x:c>
      <x:c r="X21" s="49" t="n">
        <x:f>MIN('Assumptions'!$B$11,V21/100*'Assumptions'!$B$10)</x:f>
        <x:v>0.5616</x:v>
      </x:c>
      <x:c r="Y21" s="41" t="n">
        <x:v>68</x:v>
      </x:c>
      <x:c r="Z21" s="41" t="n">
        <x:v>72</x:v>
      </x:c>
      <x:c r="AA21" s="50" t="n">
        <x:f>K21*O21*Q21</x:f>
        <x:v>1678.7699999999998</x:v>
      </x:c>
      <x:c r="AB21" s="50" t="n">
        <x:f>L21*O21*Q21</x:f>
        <x:v>3021.7859999999996</x:v>
      </x:c>
      <x:c r="AC21" s="50" t="n">
        <x:f>M21*O21*Q21</x:f>
        <x:v>5456.0025</x:v>
      </x:c>
      <x:c r="AD21" s="50" t="n">
        <x:f>AB21*N21</x:f>
        <x:v>157132.87199999997</x:v>
      </x:c>
      <x:c r="AE21" s="50" t="n">
        <x:f>MAX(0,N21*(AB21*W21-S21*O21-T21))</x:f>
        <x:v>23624.196544</x:v>
      </x:c>
      <x:c r="AF21" s="50" t="n">
        <x:f>MAX(0,N21*(AB21*X21-S21*O21-T21))</x:f>
        <x:v>72272.53371519998</x:v>
      </x:c>
      <x:c r="AG21" s="47" t="n">
        <x:f>(RANK.EQ(AD21,$AD$5:$AD$157,1)-1)/(COUNT($AD$5:$AD$157)-1)*100</x:f>
        <x:v>83.55263157894737</x:v>
      </x:c>
      <x:c r="AH21" s="47" t="n">
        <x:f>MAX(0,MIN(100,AG21*'Assumptions'!$B$5+V21*'Assumptions'!$B$6+Y21*'Assumptions'!$B$7+Z21*'Assumptions'!$B$8-(Q21-1)*'Assumptions'!$B$12))</x:f>
        <x:v>73.88815789473685</x:v>
      </x:c>
      <x:c r="AI21" s="51" t="str">
        <x:v>Medium</x:v>
      </x:c>
      <x:c r="AJ21" s="51" t="str">
        <x:v>Organizations need repeatable extraction and evidence workflows across inconsistent source formats.</x:v>
      </x:c>
      <x:c r="AK21" s="53" t="str">
        <x:f>IF(AND(AH21&gt;=75,V21&gt;=65,Z21&gt;=60),"Build now",IF(AND(AH21&gt;=60,V21&gt;=50),"Validate next",IF(AH21&gt;=50,"Partner or monitor","Deprioritize")))</x:f>
        <x:v>Validate next</x:v>
      </x:c>
      <x:c r="AL21" s="51" t="str">
        <x:v>Production automation is feasible for standard cases with exception routing.</x:v>
      </x:c>
      <x:c r="AM21" s="51" t="str">
        <x:v>/Users/jaibhagat/code/prismml/agents-last-exam/tasks/computing_math/k8s_migration_1/task_card.json</x:v>
      </x:c>
    </x:row>
    <x:row r="22">
      <x:c r="A22" s="40" t="n">
        <x:f>COUNTIF($AH$5:$AH$157,"&gt;"&amp;AH22)+COUNTIF($AH$5:AH22,AH22)</x:f>
        <x:v>18</x:v>
      </x:c>
      <x:c r="B22" s="51" t="str">
        <x:v>computing_math/k8s_payment_api_root_cause_analysis</x:v>
      </x:c>
      <x:c r="C22" s="51" t="str">
        <x:v>Kubernetes Payment API Root Cause Analysis</x:v>
      </x:c>
      <x:c r="D22" s="51" t="str">
        <x:v>computing_math</x:v>
      </x:c>
      <x:c r="E22" s="51" t="str">
        <x:v>Data &amp; Analytics Engineering</x:v>
      </x:c>
      <x:c r="F22" s="51" t="str">
        <x:v>Document intelligence and compliance</x:v>
      </x:c>
      <x:c r="G22" s="51" t="str">
        <x:v>Software engineer or data scientist</x:v>
      </x:c>
      <x:c r="H22" s="51" t="str">
        <x:v>Professional and related</x:v>
      </x:c>
      <x:c r="I22" s="52" t="n">
        <x:v>1.15</x:v>
      </x:c>
      <x:c r="J22" s="51" t="str">
        <x:v>Structured data artifact</x:v>
      </x:c>
      <x:c r="K22" s="43" t="n">
        <x:v>13</x:v>
      </x:c>
      <x:c r="L22" s="43" t="n">
        <x:v>24</x:v>
      </x:c>
      <x:c r="M22" s="43" t="n">
        <x:v>43</x:v>
      </x:c>
      <x:c r="N22" s="43" t="n">
        <x:v>52</x:v>
      </x:c>
      <x:c r="O22" s="44" t="n">
        <x:f>INDEX('Assumptions'!$B$24:$B$29,MATCH(H22,'Assumptions'!$A$24:$A$29,0))*I22</x:f>
        <x:v>83.93849999999999</x:v>
      </x:c>
      <x:c r="P22" s="41" t="str">
        <x:v>High</x:v>
      </x:c>
      <x:c r="Q22" s="45" t="n">
        <x:f>INDEX('Assumptions'!$B$18:$B$21,MATCH(P22,'Assumptions'!$A$18:$A$21,0))</x:f>
        <x:v>1.6</x:v>
      </x:c>
      <x:c r="R22" s="46" t="n">
        <x:v>0.28</x:v>
      </x:c>
      <x:c r="S22" s="47" t="n">
        <x:f>L22*R22</x:f>
        <x:v>6.720000000000001</x:v>
      </x:c>
      <x:c r="T22" s="48" t="n">
        <x:v>5</x:v>
      </x:c>
      <x:c r="U22" s="41" t="n">
        <x:v>5</x:v>
      </x:c>
      <x:c r="V22" s="41" t="n">
        <x:v>82</x:v>
      </x:c>
      <x:c r="W22" s="49" t="n">
        <x:f>V22/100*'Assumptions'!$B$9</x:f>
        <x:v>0.287</x:v>
      </x:c>
      <x:c r="X22" s="49" t="n">
        <x:f>MIN('Assumptions'!$B$11,V22/100*'Assumptions'!$B$10)</x:f>
        <x:v>0.6396</x:v>
      </x:c>
      <x:c r="Y22" s="41" t="n">
        <x:v>72</x:v>
      </x:c>
      <x:c r="Z22" s="41" t="n">
        <x:v>73</x:v>
      </x:c>
      <x:c r="AA22" s="50" t="n">
        <x:f>K22*O22*Q22</x:f>
        <x:v>1745.9207999999999</x:v>
      </x:c>
      <x:c r="AB22" s="50" t="n">
        <x:f>L22*O22*Q22</x:f>
        <x:v>3223.2384</x:v>
      </x:c>
      <x:c r="AC22" s="50" t="n">
        <x:f>M22*O22*Q22</x:f>
        <x:v>5774.9688</x:v>
      </x:c>
      <x:c r="AD22" s="50" t="n">
        <x:f>AB22*N22</x:f>
        <x:v>167608.39680000002</x:v>
      </x:c>
      <x:c r="AE22" s="50" t="n">
        <x:f>MAX(0,N22*(AB22*W22-S22*O22-T22))</x:f>
        <x:v>18512.140441599997</x:v>
      </x:c>
      <x:c r="AF22" s="50" t="n">
        <x:f>MAX(0,N22*(AB22*X22-S22*O22-T22))</x:f>
        <x:v>77610.86115328</x:v>
      </x:c>
      <x:c r="AG22" s="47" t="n">
        <x:f>(RANK.EQ(AD22,$AD$5:$AD$157,1)-1)/(COUNT($AD$5:$AD$157)-1)*100</x:f>
        <x:v>84.21052631578947</x:v>
      </x:c>
      <x:c r="AH22" s="47" t="n">
        <x:f>MAX(0,MIN(100,AG22*'Assumptions'!$B$5+V22*'Assumptions'!$B$6+Y22*'Assumptions'!$B$7+Z22*'Assumptions'!$B$8-(Q22-1)*'Assumptions'!$B$12))</x:f>
        <x:v>73.45263157894736</x:v>
      </x:c>
      <x:c r="AI22" s="51" t="str">
        <x:v>Medium</x:v>
      </x:c>
      <x:c r="AJ22" s="51" t="str">
        <x:v>Organizations need repeatable extraction and evidence workflows across inconsistent source formats.</x:v>
      </x:c>
      <x:c r="AK22" s="53" t="str">
        <x:f>IF(AND(AH22&gt;=75,V22&gt;=65,Z22&gt;=60),"Build now",IF(AND(AH22&gt;=60,V22&gt;=50),"Validate next",IF(AH22&gt;=50,"Partner or monitor","Deprioritize")))</x:f>
        <x:v>Validate next</x:v>
      </x:c>
      <x:c r="AL22" s="51" t="str">
        <x:v>Commodity automation exists for most of the work unit.</x:v>
      </x:c>
      <x:c r="AM22" s="51" t="str">
        <x:v>/Users/jaibhagat/code/prismml/agents-last-exam/tasks/computing_math/k8s_payment_api_root_cause_analysis/task_card.json</x:v>
      </x:c>
    </x:row>
    <x:row r="23">
      <x:c r="A23" s="40" t="n">
        <x:f>COUNTIF($AH$5:$AH$157,"&gt;"&amp;AH23)+COUNTIF($AH$5:AH23,AH23)</x:f>
        <x:v>19</x:v>
      </x:c>
      <x:c r="B23" s="51" t="str">
        <x:v>health_medicine/healthcare_variant_annotation_pipeline</x:v>
      </x:c>
      <x:c r="C23" s="51" t="str">
        <x:v>Build A Pinned Clinical Variant Annotation Table</x:v>
      </x:c>
      <x:c r="D23" s="51" t="str">
        <x:v>health_medicine</x:v>
      </x:c>
      <x:c r="E23" s="51" t="str">
        <x:v>Genomics &amp; Sequence Analysis</x:v>
      </x:c>
      <x:c r="F23" s="51" t="str">
        <x:v>Document intelligence and compliance</x:v>
      </x:c>
      <x:c r="G23" s="51" t="str">
        <x:v>Clinical data scientist or medical specialist</x:v>
      </x:c>
      <x:c r="H23" s="51" t="str">
        <x:v>Professional and related</x:v>
      </x:c>
      <x:c r="I23" s="52" t="n">
        <x:v>1.3</x:v>
      </x:c>
      <x:c r="J23" s="51" t="str">
        <x:v>Structured data artifact</x:v>
      </x:c>
      <x:c r="K23" s="43" t="n">
        <x:v>26</x:v>
      </x:c>
      <x:c r="L23" s="43" t="n">
        <x:v>48</x:v>
      </x:c>
      <x:c r="M23" s="43" t="n">
        <x:v>86</x:v>
      </x:c>
      <x:c r="N23" s="43" t="n">
        <x:v>100</x:v>
      </x:c>
      <x:c r="O23" s="44" t="n">
        <x:f>INDEX('Assumptions'!$B$24:$B$29,MATCH(H23,'Assumptions'!$A$24:$A$29,0))*I23</x:f>
        <x:v>94.887</x:v>
      </x:c>
      <x:c r="P23" s="41" t="str">
        <x:v>Critical</x:v>
      </x:c>
      <x:c r="Q23" s="45" t="n">
        <x:f>INDEX('Assumptions'!$B$18:$B$21,MATCH(P23,'Assumptions'!$A$18:$A$21,0))</x:f>
        <x:v>2.2</x:v>
      </x:c>
      <x:c r="R23" s="46" t="n">
        <x:v>0.4</x:v>
      </x:c>
      <x:c r="S23" s="47" t="n">
        <x:f>L23*R23</x:f>
        <x:v>19.200000000000003</x:v>
      </x:c>
      <x:c r="T23" s="48" t="n">
        <x:v>5</x:v>
      </x:c>
      <x:c r="U23" s="41" t="n">
        <x:v>4</x:v>
      </x:c>
      <x:c r="V23" s="41" t="n">
        <x:v>72</x:v>
      </x:c>
      <x:c r="W23" s="49" t="n">
        <x:f>V23/100*'Assumptions'!$B$9</x:f>
        <x:v>0.252</x:v>
      </x:c>
      <x:c r="X23" s="49" t="n">
        <x:f>MIN('Assumptions'!$B$11,V23/100*'Assumptions'!$B$10)</x:f>
        <x:v>0.5616</x:v>
      </x:c>
      <x:c r="Y23" s="41" t="n">
        <x:v>88</x:v>
      </x:c>
      <x:c r="Z23" s="41" t="n">
        <x:v>66</x:v>
      </x:c>
      <x:c r="AA23" s="50" t="n">
        <x:f>K23*O23*Q23</x:f>
        <x:v>5427.5364</x:v>
      </x:c>
      <x:c r="AB23" s="50" t="n">
        <x:f>L23*O23*Q23</x:f>
        <x:v>10020.067200000001</x:v>
      </x:c>
      <x:c r="AC23" s="50" t="n">
        <x:f>M23*O23*Q23</x:f>
        <x:v>17952.620400000003</x:v>
      </x:c>
      <x:c r="AD23" s="50" t="n">
        <x:f>AB23*N23</x:f>
        <x:v>1002006.7200000001</x:v>
      </x:c>
      <x:c r="AE23" s="50" t="n">
        <x:f>MAX(0,N23*(AB23*W23-S23*O23-T23))</x:f>
        <x:v>69822.65344000002</x:v>
      </x:c>
      <x:c r="AF23" s="50" t="n">
        <x:f>MAX(0,N23*(AB23*X23-S23*O23-T23))</x:f>
        <x:v>380043.933952</x:v>
      </x:c>
      <x:c r="AG23" s="47" t="n">
        <x:f>(RANK.EQ(AD23,$AD$5:$AD$157,1)-1)/(COUNT($AD$5:$AD$157)-1)*100</x:f>
        <x:v>98.68421052631578</x:v>
      </x:c>
      <x:c r="AH23" s="47" t="n">
        <x:f>MAX(0,MIN(100,AG23*'Assumptions'!$B$5+V23*'Assumptions'!$B$6+Y23*'Assumptions'!$B$7+Z23*'Assumptions'!$B$8-(Q23-1)*'Assumptions'!$B$12))</x:f>
        <x:v>71.87105263157895</x:v>
      </x:c>
      <x:c r="AI23" s="51" t="str">
        <x:v>Medium</x:v>
      </x:c>
      <x:c r="AJ23" s="51" t="str">
        <x:v>Domain-specific document work needs reliable citations, schemas, and review routing rather than generic chat.</x:v>
      </x:c>
      <x:c r="AK23" s="53" t="str">
        <x:f>IF(AND(AH23&gt;=75,V23&gt;=65,Z23&gt;=60),"Build now",IF(AND(AH23&gt;=60,V23&gt;=50),"Validate next",IF(AH23&gt;=50,"Partner or monitor","Deprioritize")))</x:f>
        <x:v>Validate next</x:v>
      </x:c>
      <x:c r="AL23" s="51" t="str">
        <x:v>Production automation is feasible for standard cases with exception routing. Accountable professional signoff remains necessary.</x:v>
      </x:c>
      <x:c r="AM23" s="51" t="str">
        <x:v>/Users/jaibhagat/code/prismml/agents-last-exam/tasks/health_medicine/healthcare_variant_annotation_pipeline/task_card.json</x:v>
      </x:c>
    </x:row>
    <x:row r="24">
      <x:c r="A24" s="40" t="n">
        <x:f>COUNTIF($AH$5:$AH$157,"&gt;"&amp;AH24)+COUNTIF($AH$5:AH24,AH24)</x:f>
        <x:v>20</x:v>
      </x:c>
      <x:c r="B24" s="51" t="str">
        <x:v>business_finance/ar_full_1500</x:v>
      </x:c>
      <x:c r="C24" s="51" t="str">
        <x:v>Annual Report Full Extraction (1500 files)</x:v>
      </x:c>
      <x:c r="D24" s="51" t="str">
        <x:v>business_finance</x:v>
      </x:c>
      <x:c r="E24" s="51" t="str">
        <x:v>Accounting &amp; Finance</x:v>
      </x:c>
      <x:c r="F24" s="51" t="str">
        <x:v>Document intelligence and compliance</x:v>
      </x:c>
      <x:c r="G24" s="51" t="str">
        <x:v>Financial or operations analyst</x:v>
      </x:c>
      <x:c r="H24" s="51" t="str">
        <x:v>Management, business, and financial</x:v>
      </x:c>
      <x:c r="I24" s="52" t="n">
        <x:v>1.15</x:v>
      </x:c>
      <x:c r="J24" s="51" t="str">
        <x:v>Report or analytical workbook</x:v>
      </x:c>
      <x:c r="K24" s="43" t="n">
        <x:v>413</x:v>
      </x:c>
      <x:c r="L24" s="43" t="n">
        <x:v>750</x:v>
      </x:c>
      <x:c r="M24" s="43" t="n">
        <x:v>1350</x:v>
      </x:c>
      <x:c r="N24" s="43" t="n">
        <x:v>4</x:v>
      </x:c>
      <x:c r="O24" s="44" t="n">
        <x:f>INDEX('Assumptions'!$B$24:$B$29,MATCH(H24,'Assumptions'!$A$24:$A$29,0))*I24</x:f>
        <x:v>100.84349999999999</x:v>
      </x:c>
      <x:c r="P24" s="41" t="str">
        <x:v>Medium</x:v>
      </x:c>
      <x:c r="Q24" s="45" t="n">
        <x:f>INDEX('Assumptions'!$B$18:$B$21,MATCH(P24,'Assumptions'!$A$18:$A$21,0))</x:f>
        <x:v>1.25</x:v>
      </x:c>
      <x:c r="R24" s="46" t="n">
        <x:v>0.18</x:v>
      </x:c>
      <x:c r="S24" s="47" t="n">
        <x:f>L24*R24</x:f>
        <x:v>135</x:v>
      </x:c>
      <x:c r="T24" s="48" t="n">
        <x:v>5</x:v>
      </x:c>
      <x:c r="U24" s="41" t="n">
        <x:v>4</x:v>
      </x:c>
      <x:c r="V24" s="41" t="n">
        <x:v>56</x:v>
      </x:c>
      <x:c r="W24" s="49" t="n">
        <x:f>V24/100*'Assumptions'!$B$9</x:f>
        <x:v>0.196</x:v>
      </x:c>
      <x:c r="X24" s="49" t="n">
        <x:f>MIN('Assumptions'!$B$11,V24/100*'Assumptions'!$B$10)</x:f>
        <x:v>0.4368000000000001</x:v>
      </x:c>
      <x:c r="Y24" s="41" t="n">
        <x:v>82</x:v>
      </x:c>
      <x:c r="Z24" s="41" t="n">
        <x:v>62</x:v>
      </x:c>
      <x:c r="AA24" s="50" t="n">
        <x:f>K24*O24*Q24</x:f>
        <x:v>52060.456875</x:v>
      </x:c>
      <x:c r="AB24" s="50" t="n">
        <x:f>L24*O24*Q24</x:f>
        <x:v>94540.78125</x:v>
      </x:c>
      <x:c r="AC24" s="50" t="n">
        <x:f>M24*O24*Q24</x:f>
        <x:v>170173.40624999997</x:v>
      </x:c>
      <x:c r="AD24" s="50" t="n">
        <x:f>AB24*N24</x:f>
        <x:v>378163.125</x:v>
      </x:c>
      <x:c r="AE24" s="50" t="n">
        <x:f>MAX(0,N24*(AB24*W24-S24*O24-T24))</x:f>
        <x:v>19644.482500000006</x:v>
      </x:c>
      <x:c r="AF24" s="50" t="n">
        <x:f>MAX(0,N24*(AB24*X24-S24*O24-T24))</x:f>
        <x:v>110706.16300000003</x:v>
      </x:c>
      <x:c r="AG24" s="47" t="n">
        <x:f>(RANK.EQ(AD24,$AD$5:$AD$157,1)-1)/(COUNT($AD$5:$AD$157)-1)*100</x:f>
        <x:v>95.39473684210526</x:v>
      </x:c>
      <x:c r="AH24" s="47" t="n">
        <x:f>MAX(0,MIN(100,AG24*'Assumptions'!$B$5+V24*'Assumptions'!$B$6+Y24*'Assumptions'!$B$7+Z24*'Assumptions'!$B$8-(Q24-1)*'Assumptions'!$B$12))</x:f>
        <x:v>71.54868421052632</x:v>
      </x:c>
      <x:c r="AI24" s="51" t="str">
        <x:v>Medium</x:v>
      </x:c>
      <x:c r="AJ24" s="51" t="str">
        <x:v>Domain-specific document work needs reliable citations, schemas, and review routing rather than generic chat.</x:v>
      </x:c>
      <x:c r="AK24" s="53" t="str">
        <x:f>IF(AND(AH24&gt;=75,V24&gt;=65,Z24&gt;=60),"Build now",IF(AND(AH24&gt;=60,V24&gt;=50),"Validate next",IF(AH24&gt;=50,"Partner or monitor","Deprioritize")))</x:f>
        <x:v>Validate next</x:v>
      </x:c>
      <x:c r="AL24" s="51" t="str">
        <x:v>Production automation is feasible for standard cases with exception routing.</x:v>
      </x:c>
      <x:c r="AM24" s="51" t="str">
        <x:v>/Users/jaibhagat/code/prismml/agents-last-exam/tasks/business_finance/ar_full_1500/task_card.json</x:v>
      </x:c>
    </x:row>
    <x:row r="25">
      <x:c r="A25" s="40" t="n">
        <x:f>COUNTIF($AH$5:$AH$157,"&gt;"&amp;AH25)+COUNTIF($AH$5:AH25,AH25)</x:f>
        <x:v>21</x:v>
      </x:c>
      <x:c r="B25" s="51" t="str">
        <x:v>health_medicine/Clinical_Variant_Annotation</x:v>
      </x:c>
      <x:c r="C25" s="51" t="str">
        <x:v>Clinical Variant Annotation</x:v>
      </x:c>
      <x:c r="D25" s="51" t="str">
        <x:v>health_medicine</x:v>
      </x:c>
      <x:c r="E25" s="51" t="str">
        <x:v>Genomics &amp; Sequence Analysis</x:v>
      </x:c>
      <x:c r="F25" s="51" t="str">
        <x:v>Document intelligence and compliance</x:v>
      </x:c>
      <x:c r="G25" s="51" t="str">
        <x:v>Clinical data scientist or medical specialist</x:v>
      </x:c>
      <x:c r="H25" s="51" t="str">
        <x:v>Professional and related</x:v>
      </x:c>
      <x:c r="I25" s="52" t="n">
        <x:v>1.3</x:v>
      </x:c>
      <x:c r="J25" s="51" t="str">
        <x:v>Structured data artifact</x:v>
      </x:c>
      <x:c r="K25" s="43" t="n">
        <x:v>10</x:v>
      </x:c>
      <x:c r="L25" s="43" t="n">
        <x:v>18</x:v>
      </x:c>
      <x:c r="M25" s="43" t="n">
        <x:v>32</x:v>
      </x:c>
      <x:c r="N25" s="43" t="n">
        <x:v>100</x:v>
      </x:c>
      <x:c r="O25" s="44" t="n">
        <x:f>INDEX('Assumptions'!$B$24:$B$29,MATCH(H25,'Assumptions'!$A$24:$A$29,0))*I25</x:f>
        <x:v>94.887</x:v>
      </x:c>
      <x:c r="P25" s="41" t="str">
        <x:v>Critical</x:v>
      </x:c>
      <x:c r="Q25" s="45" t="n">
        <x:f>INDEX('Assumptions'!$B$18:$B$21,MATCH(P25,'Assumptions'!$A$18:$A$21,0))</x:f>
        <x:v>2.2</x:v>
      </x:c>
      <x:c r="R25" s="46" t="n">
        <x:v>0.4</x:v>
      </x:c>
      <x:c r="S25" s="47" t="n">
        <x:f>L25*R25</x:f>
        <x:v>7.2</x:v>
      </x:c>
      <x:c r="T25" s="48" t="n">
        <x:v>5</x:v>
      </x:c>
      <x:c r="U25" s="41" t="n">
        <x:v>4</x:v>
      </x:c>
      <x:c r="V25" s="41" t="n">
        <x:v>72</x:v>
      </x:c>
      <x:c r="W25" s="49" t="n">
        <x:f>V25/100*'Assumptions'!$B$9</x:f>
        <x:v>0.252</x:v>
      </x:c>
      <x:c r="X25" s="49" t="n">
        <x:f>MIN('Assumptions'!$B$11,V25/100*'Assumptions'!$B$10)</x:f>
        <x:v>0.5616</x:v>
      </x:c>
      <x:c r="Y25" s="41" t="n">
        <x:v>88</x:v>
      </x:c>
      <x:c r="Z25" s="41" t="n">
        <x:v>66</x:v>
      </x:c>
      <x:c r="AA25" s="50" t="n">
        <x:f>K25*O25*Q25</x:f>
        <x:v>2087.514</x:v>
      </x:c>
      <x:c r="AB25" s="50" t="n">
        <x:f>L25*O25*Q25</x:f>
        <x:v>3757.5252</x:v>
      </x:c>
      <x:c r="AC25" s="50" t="n">
        <x:f>M25*O25*Q25</x:f>
        <x:v>6680.044800000001</x:v>
      </x:c>
      <x:c r="AD25" s="50" t="n">
        <x:f>AB25*N25</x:f>
        <x:v>375752.52</x:v>
      </x:c>
      <x:c r="AE25" s="50" t="n">
        <x:f>MAX(0,N25*(AB25*W25-S25*O25-T25))</x:f>
        <x:v>25870.99503999999</x:v>
      </x:c>
      <x:c r="AF25" s="50" t="n">
        <x:f>MAX(0,N25*(AB25*X25-S25*O25-T25))</x:f>
        <x:v>142203.975232</x:v>
      </x:c>
      <x:c r="AG25" s="47" t="n">
        <x:f>(RANK.EQ(AD25,$AD$5:$AD$157,1)-1)/(COUNT($AD$5:$AD$157)-1)*100</x:f>
        <x:v>94.73684210526315</x:v>
      </x:c>
      <x:c r="AH25" s="47" t="n">
        <x:f>MAX(0,MIN(100,AG25*'Assumptions'!$B$5+V25*'Assumptions'!$B$6+Y25*'Assumptions'!$B$7+Z25*'Assumptions'!$B$8-(Q25-1)*'Assumptions'!$B$12))</x:f>
        <x:v>70.8842105263158</x:v>
      </x:c>
      <x:c r="AI25" s="51" t="str">
        <x:v>Medium</x:v>
      </x:c>
      <x:c r="AJ25" s="51" t="str">
        <x:v>Domain-specific document work needs reliable citations, schemas, and review routing rather than generic chat.</x:v>
      </x:c>
      <x:c r="AK25" s="53" t="str">
        <x:f>IF(AND(AH25&gt;=75,V25&gt;=65,Z25&gt;=60),"Build now",IF(AND(AH25&gt;=60,V25&gt;=50),"Validate next",IF(AH25&gt;=50,"Partner or monitor","Deprioritize")))</x:f>
        <x:v>Validate next</x:v>
      </x:c>
      <x:c r="AL25" s="51" t="str">
        <x:v>Production automation is feasible for standard cases with exception routing. Accountable professional signoff remains necessary.</x:v>
      </x:c>
      <x:c r="AM25" s="51" t="str">
        <x:v>/Users/jaibhagat/code/prismml/agents-last-exam/tasks/health_medicine/Clinical_Variant_Annotation/task_card.json</x:v>
      </x:c>
    </x:row>
    <x:row r="26">
      <x:c r="A26" s="40" t="n">
        <x:f>COUNTIF($AH$5:$AH$157,"&gt;"&amp;AH26)+COUNTIF($AH$5:AH26,AH26)</x:f>
        <x:v>22</x:v>
      </x:c>
      <x:c r="B26" s="51" t="str">
        <x:v>computing_math/ranking_node_feature_parity_recovery_instance_1</x:v>
      </x:c>
      <x:c r="C26" s="51" t="str">
        <x:v>Ranking Node Feature Parity Recovery</x:v>
      </x:c>
      <x:c r="D26" s="51" t="str">
        <x:v>computing_math</x:v>
      </x:c>
      <x:c r="E26" s="51" t="str">
        <x:v>Software Engineering</x:v>
      </x:c>
      <x:c r="F26" s="51" t="str">
        <x:v>Software and data engineering</x:v>
      </x:c>
      <x:c r="G26" s="51" t="str">
        <x:v>Software engineer or data scientist</x:v>
      </x:c>
      <x:c r="H26" s="51" t="str">
        <x:v>Professional and related</x:v>
      </x:c>
      <x:c r="I26" s="52" t="n">
        <x:v>1.15</x:v>
      </x:c>
      <x:c r="J26" s="51" t="str">
        <x:v>Structured data artifact</x:v>
      </x:c>
      <x:c r="K26" s="43" t="n">
        <x:v>26</x:v>
      </x:c>
      <x:c r="L26" s="43" t="n">
        <x:v>48</x:v>
      </x:c>
      <x:c r="M26" s="43" t="n">
        <x:v>86</x:v>
      </x:c>
      <x:c r="N26" s="43" t="n">
        <x:v>52</x:v>
      </x:c>
      <x:c r="O26" s="44" t="n">
        <x:f>INDEX('Assumptions'!$B$24:$B$29,MATCH(H26,'Assumptions'!$A$24:$A$29,0))*I26</x:f>
        <x:v>83.93849999999999</x:v>
      </x:c>
      <x:c r="P26" s="41" t="str">
        <x:v>Low</x:v>
      </x:c>
      <x:c r="Q26" s="45" t="n">
        <x:f>INDEX('Assumptions'!$B$18:$B$21,MATCH(P26,'Assumptions'!$A$18:$A$21,0))</x:f>
        <x:v>1</x:v>
      </x:c>
      <x:c r="R26" s="46" t="n">
        <x:v>0.1</x:v>
      </x:c>
      <x:c r="S26" s="47" t="n">
        <x:f>L26*R26</x:f>
        <x:v>4.800000000000001</x:v>
      </x:c>
      <x:c r="T26" s="48" t="n">
        <x:v>20</x:v>
      </x:c>
      <x:c r="U26" s="41" t="n">
        <x:v>4</x:v>
      </x:c>
      <x:c r="V26" s="41" t="n">
        <x:v>64</x:v>
      </x:c>
      <x:c r="W26" s="49" t="n">
        <x:f>V26/100*'Assumptions'!$B$9</x:f>
        <x:v>0.22399999999999998</x:v>
      </x:c>
      <x:c r="X26" s="49" t="n">
        <x:f>MIN('Assumptions'!$B$11,V26/100*'Assumptions'!$B$10)</x:f>
        <x:v>0.49920000000000003</x:v>
      </x:c>
      <x:c r="Y26" s="41" t="n">
        <x:v>56</x:v>
      </x:c>
      <x:c r="Z26" s="41" t="n">
        <x:v>76</x:v>
      </x:c>
      <x:c r="AA26" s="50" t="n">
        <x:f>K26*O26*Q26</x:f>
        <x:v>2182.401</x:v>
      </x:c>
      <x:c r="AB26" s="50" t="n">
        <x:f>L26*O26*Q26</x:f>
        <x:v>4029.048</x:v>
      </x:c>
      <x:c r="AC26" s="50" t="n">
        <x:f>M26*O26*Q26</x:f>
        <x:v>7218.710999999999</x:v>
      </x:c>
      <x:c r="AD26" s="50" t="n">
        <x:f>AB26*N26</x:f>
        <x:v>209510.49599999998</x:v>
      </x:c>
      <x:c r="AE26" s="50" t="n">
        <x:f>MAX(0,N26*(AB26*W26-S26*O26-T26))</x:f>
        <x:v>24939.301503999992</x:v>
      </x:c>
      <x:c r="AF26" s="50" t="n">
        <x:f>MAX(0,N26*(AB26*X26-S26*O26-T26))</x:f>
        <x:v>82596.59000319999</x:v>
      </x:c>
      <x:c r="AG26" s="47" t="n">
        <x:f>(RANK.EQ(AD26,$AD$5:$AD$157,1)-1)/(COUNT($AD$5:$AD$157)-1)*100</x:f>
        <x:v>88.81578947368422</x:v>
      </x:c>
      <x:c r="AH26" s="47" t="n">
        <x:f>MAX(0,MIN(100,AG26*'Assumptions'!$B$5+V26*'Assumptions'!$B$6+Y26*'Assumptions'!$B$7+Z26*'Assumptions'!$B$8-(Q26-1)*'Assumptions'!$B$12))</x:f>
        <x:v>70.60394736842106</x:v>
      </x:c>
      <x:c r="AI26" s="51" t="str">
        <x:v>Low</x:v>
      </x:c>
      <x:c r="AJ26" s="51" t="str">
        <x:v>The gap is verified repair and migration inside constrained environments, with evidence that changes work.</x:v>
      </x:c>
      <x:c r="AK26" s="53" t="str">
        <x:f>IF(AND(AH26&gt;=75,V26&gt;=65,Z26&gt;=60),"Build now",IF(AND(AH26&gt;=60,V26&gt;=50),"Validate next",IF(AH26&gt;=50,"Partner or monitor","Deprioritize")))</x:f>
        <x:v>Validate next</x:v>
      </x:c>
      <x:c r="AL26" s="51" t="str">
        <x:v>Production automation is feasible for standard cases with exception routing.</x:v>
      </x:c>
      <x:c r="AM26" s="51" t="str">
        <x:v>/Users/jaibhagat/code/prismml/agents-last-exam/tasks/computing_math/ranking_node_feature_parity_recovery_instance_1/task_card.json</x:v>
      </x:c>
    </x:row>
    <x:row r="27">
      <x:c r="A27" s="40" t="n">
        <x:f>COUNTIF($AH$5:$AH$157,"&gt;"&amp;AH27)+COUNTIF($AH$5:AH27,AH27)</x:f>
        <x:v>23</x:v>
      </x:c>
      <x:c r="B27" s="51" t="str">
        <x:v>health_medicine/crf_sdtm_mapping_4</x:v>
      </x:c>
      <x:c r="C27" s="51" t="str">
        <x:v>CRF To SDTM Mapping Specification 4</x:v>
      </x:c>
      <x:c r="D27" s="51" t="str">
        <x:v>health_medicine</x:v>
      </x:c>
      <x:c r="E27" s="51" t="str">
        <x:v>Clinical Research &amp; Trial Operations</x:v>
      </x:c>
      <x:c r="F27" s="51" t="str">
        <x:v>Document intelligence and compliance</x:v>
      </x:c>
      <x:c r="G27" s="51" t="str">
        <x:v>Clinical data scientist or medical specialist</x:v>
      </x:c>
      <x:c r="H27" s="51" t="str">
        <x:v>Professional and related</x:v>
      </x:c>
      <x:c r="I27" s="52" t="n">
        <x:v>1.3</x:v>
      </x:c>
      <x:c r="J27" s="51" t="str">
        <x:v>Structured data artifact</x:v>
      </x:c>
      <x:c r="K27" s="43" t="n">
        <x:v>13</x:v>
      </x:c>
      <x:c r="L27" s="43" t="n">
        <x:v>24</x:v>
      </x:c>
      <x:c r="M27" s="43" t="n">
        <x:v>43</x:v>
      </x:c>
      <x:c r="N27" s="43" t="n">
        <x:v>24</x:v>
      </x:c>
      <x:c r="O27" s="44" t="n">
        <x:f>INDEX('Assumptions'!$B$24:$B$29,MATCH(H27,'Assumptions'!$A$24:$A$29,0))*I27</x:f>
        <x:v>94.887</x:v>
      </x:c>
      <x:c r="P27" s="41" t="str">
        <x:v>High</x:v>
      </x:c>
      <x:c r="Q27" s="45" t="n">
        <x:f>INDEX('Assumptions'!$B$18:$B$21,MATCH(P27,'Assumptions'!$A$18:$A$21,0))</x:f>
        <x:v>1.6</x:v>
      </x:c>
      <x:c r="R27" s="46" t="n">
        <x:v>0.28</x:v>
      </x:c>
      <x:c r="S27" s="47" t="n">
        <x:f>L27*R27</x:f>
        <x:v>6.720000000000001</x:v>
      </x:c>
      <x:c r="T27" s="48" t="n">
        <x:v>5</x:v>
      </x:c>
      <x:c r="U27" s="41" t="n">
        <x:v>5</x:v>
      </x:c>
      <x:c r="V27" s="41" t="n">
        <x:v>82</x:v>
      </x:c>
      <x:c r="W27" s="49" t="n">
        <x:f>V27/100*'Assumptions'!$B$9</x:f>
        <x:v>0.287</x:v>
      </x:c>
      <x:c r="X27" s="49" t="n">
        <x:f>MIN('Assumptions'!$B$11,V27/100*'Assumptions'!$B$10)</x:f>
        <x:v>0.6396</x:v>
      </x:c>
      <x:c r="Y27" s="41" t="n">
        <x:v>88</x:v>
      </x:c>
      <x:c r="Z27" s="41" t="n">
        <x:v>73</x:v>
      </x:c>
      <x:c r="AA27" s="50" t="n">
        <x:f>K27*O27*Q27</x:f>
        <x:v>1973.6496</x:v>
      </x:c>
      <x:c r="AB27" s="50" t="n">
        <x:f>L27*O27*Q27</x:f>
        <x:v>3643.6608</x:v>
      </x:c>
      <x:c r="AC27" s="50" t="n">
        <x:f>M27*O27*Q27</x:f>
        <x:v>6528.225600000001</x:v>
      </x:c>
      <x:c r="AD27" s="50" t="n">
        <x:f>AB27*N27</x:f>
        <x:v>87447.8592</x:v>
      </x:c>
      <x:c r="AE27" s="50" t="n">
        <x:f>MAX(0,N27*(AB27*W27-S27*O27-T27))</x:f>
        <x:v>9674.160230399995</x:v>
      </x:c>
      <x:c r="AF27" s="50" t="n">
        <x:f>MAX(0,N27*(AB27*X27-S27*O27-T27))</x:f>
        <x:v>40508.27538431999</x:v>
      </x:c>
      <x:c r="AG27" s="47" t="n">
        <x:f>(RANK.EQ(AD27,$AD$5:$AD$157,1)-1)/(COUNT($AD$5:$AD$157)-1)*100</x:f>
        <x:v>53.94736842105263</x:v>
      </x:c>
      <x:c r="AH27" s="47" t="n">
        <x:f>MAX(0,MIN(100,AG27*'Assumptions'!$B$5+V27*'Assumptions'!$B$6+Y27*'Assumptions'!$B$7+Z27*'Assumptions'!$B$8-(Q27-1)*'Assumptions'!$B$12))</x:f>
        <x:v>69.88684210526317</x:v>
      </x:c>
      <x:c r="AI27" s="51" t="str">
        <x:v>Medium</x:v>
      </x:c>
      <x:c r="AJ27" s="51" t="str">
        <x:v>Domain-specific document work needs reliable citations, schemas, and review routing rather than generic chat.</x:v>
      </x:c>
      <x:c r="AK27" s="53" t="str">
        <x:f>IF(AND(AH27&gt;=75,V27&gt;=65,Z27&gt;=60),"Build now",IF(AND(AH27&gt;=60,V27&gt;=50),"Validate next",IF(AH27&gt;=50,"Partner or monitor","Deprioritize")))</x:f>
        <x:v>Validate next</x:v>
      </x:c>
      <x:c r="AL27" s="51" t="str">
        <x:v>Commodity automation exists for most of the work unit.</x:v>
      </x:c>
      <x:c r="AM27" s="51" t="str">
        <x:v>/Users/jaibhagat/code/prismml/agents-last-exam/tasks/health_medicine/crf_sdtm_mapping_4/task_card.json</x:v>
      </x:c>
    </x:row>
    <x:row r="28">
      <x:c r="A28" s="40" t="n">
        <x:f>COUNTIF($AH$5:$AH$157,"&gt;"&amp;AH28)+COUNTIF($AH$5:AH28,AH28)</x:f>
        <x:v>24</x:v>
      </x:c>
      <x:c r="B28" s="51" t="str">
        <x:v>health_medicine/crf_sdtm_mapping_1</x:v>
      </x:c>
      <x:c r="C28" s="51" t="str">
        <x:v>CRF To SDTM Mapping Specification</x:v>
      </x:c>
      <x:c r="D28" s="51" t="str">
        <x:v>health_medicine</x:v>
      </x:c>
      <x:c r="E28" s="51" t="str">
        <x:v>Clinical Research &amp; Trial Operations</x:v>
      </x:c>
      <x:c r="F28" s="51" t="str">
        <x:v>Document intelligence and compliance</x:v>
      </x:c>
      <x:c r="G28" s="51" t="str">
        <x:v>Clinical data scientist or medical specialist</x:v>
      </x:c>
      <x:c r="H28" s="51" t="str">
        <x:v>Professional and related</x:v>
      </x:c>
      <x:c r="I28" s="52" t="n">
        <x:v>1.3</x:v>
      </x:c>
      <x:c r="J28" s="51" t="str">
        <x:v>Structured data artifact</x:v>
      </x:c>
      <x:c r="K28" s="43" t="n">
        <x:v>13</x:v>
      </x:c>
      <x:c r="L28" s="43" t="n">
        <x:v>24</x:v>
      </x:c>
      <x:c r="M28" s="43" t="n">
        <x:v>43</x:v>
      </x:c>
      <x:c r="N28" s="43" t="n">
        <x:v>24</x:v>
      </x:c>
      <x:c r="O28" s="44" t="n">
        <x:f>INDEX('Assumptions'!$B$24:$B$29,MATCH(H28,'Assumptions'!$A$24:$A$29,0))*I28</x:f>
        <x:v>94.887</x:v>
      </x:c>
      <x:c r="P28" s="41" t="str">
        <x:v>High</x:v>
      </x:c>
      <x:c r="Q28" s="45" t="n">
        <x:f>INDEX('Assumptions'!$B$18:$B$21,MATCH(P28,'Assumptions'!$A$18:$A$21,0))</x:f>
        <x:v>1.6</x:v>
      </x:c>
      <x:c r="R28" s="46" t="n">
        <x:v>0.28</x:v>
      </x:c>
      <x:c r="S28" s="47" t="n">
        <x:f>L28*R28</x:f>
        <x:v>6.720000000000001</x:v>
      </x:c>
      <x:c r="T28" s="48" t="n">
        <x:v>5</x:v>
      </x:c>
      <x:c r="U28" s="41" t="n">
        <x:v>5</x:v>
      </x:c>
      <x:c r="V28" s="41" t="n">
        <x:v>82</x:v>
      </x:c>
      <x:c r="W28" s="49" t="n">
        <x:f>V28/100*'Assumptions'!$B$9</x:f>
        <x:v>0.287</x:v>
      </x:c>
      <x:c r="X28" s="49" t="n">
        <x:f>MIN('Assumptions'!$B$11,V28/100*'Assumptions'!$B$10)</x:f>
        <x:v>0.6396</x:v>
      </x:c>
      <x:c r="Y28" s="41" t="n">
        <x:v>88</x:v>
      </x:c>
      <x:c r="Z28" s="41" t="n">
        <x:v>73</x:v>
      </x:c>
      <x:c r="AA28" s="50" t="n">
        <x:f>K28*O28*Q28</x:f>
        <x:v>1973.6496</x:v>
      </x:c>
      <x:c r="AB28" s="50" t="n">
        <x:f>L28*O28*Q28</x:f>
        <x:v>3643.6608</x:v>
      </x:c>
      <x:c r="AC28" s="50" t="n">
        <x:f>M28*O28*Q28</x:f>
        <x:v>6528.225600000001</x:v>
      </x:c>
      <x:c r="AD28" s="50" t="n">
        <x:f>AB28*N28</x:f>
        <x:v>87447.8592</x:v>
      </x:c>
      <x:c r="AE28" s="50" t="n">
        <x:f>MAX(0,N28*(AB28*W28-S28*O28-T28))</x:f>
        <x:v>9674.160230399995</x:v>
      </x:c>
      <x:c r="AF28" s="50" t="n">
        <x:f>MAX(0,N28*(AB28*X28-S28*O28-T28))</x:f>
        <x:v>40508.27538431999</x:v>
      </x:c>
      <x:c r="AG28" s="47" t="n">
        <x:f>(RANK.EQ(AD28,$AD$5:$AD$157,1)-1)/(COUNT($AD$5:$AD$157)-1)*100</x:f>
        <x:v>53.94736842105263</x:v>
      </x:c>
      <x:c r="AH28" s="47" t="n">
        <x:f>MAX(0,MIN(100,AG28*'Assumptions'!$B$5+V28*'Assumptions'!$B$6+Y28*'Assumptions'!$B$7+Z28*'Assumptions'!$B$8-(Q28-1)*'Assumptions'!$B$12))</x:f>
        <x:v>69.88684210526317</x:v>
      </x:c>
      <x:c r="AI28" s="51" t="str">
        <x:v>Medium</x:v>
      </x:c>
      <x:c r="AJ28" s="51" t="str">
        <x:v>Domain-specific document work needs reliable citations, schemas, and review routing rather than generic chat.</x:v>
      </x:c>
      <x:c r="AK28" s="53" t="str">
        <x:f>IF(AND(AH28&gt;=75,V28&gt;=65,Z28&gt;=60),"Build now",IF(AND(AH28&gt;=60,V28&gt;=50),"Validate next",IF(AH28&gt;=50,"Partner or monitor","Deprioritize")))</x:f>
        <x:v>Validate next</x:v>
      </x:c>
      <x:c r="AL28" s="51" t="str">
        <x:v>Commodity automation exists for most of the work unit.</x:v>
      </x:c>
      <x:c r="AM28" s="51" t="str">
        <x:v>/Users/jaibhagat/code/prismml/agents-last-exam/tasks/health_medicine/crf_sdtm_mapping_1/task_card.json</x:v>
      </x:c>
    </x:row>
    <x:row r="29">
      <x:c r="A29" s="40" t="n">
        <x:f>COUNTIF($AH$5:$AH$157,"&gt;"&amp;AH29)+COUNTIF($AH$5:AH29,AH29)</x:f>
        <x:v>25</x:v>
      </x:c>
      <x:c r="B29" s="51" t="str">
        <x:v>life_sciences/tcga_brca_deg_analysis</x:v>
      </x:c>
      <x:c r="C29" s="51" t="str">
        <x:v>TCGA BRCA Differential Expression Analysis</x:v>
      </x:c>
      <x:c r="D29" s="51" t="str">
        <x:v>life_sciences</x:v>
      </x:c>
      <x:c r="E29" s="51" t="str">
        <x:v>Genomics &amp; Sequence Analysis</x:v>
      </x:c>
      <x:c r="F29" s="51" t="str">
        <x:v>Scientific modeling and computation</x:v>
      </x:c>
      <x:c r="G29" s="51" t="str">
        <x:v>Bioinformatics or life-science researcher</x:v>
      </x:c>
      <x:c r="H29" s="51" t="str">
        <x:v>Professional and related</x:v>
      </x:c>
      <x:c r="I29" s="52" t="n">
        <x:v>1.25</x:v>
      </x:c>
      <x:c r="J29" s="51" t="str">
        <x:v>Structured data artifact</x:v>
      </x:c>
      <x:c r="K29" s="43" t="n">
        <x:v>44</x:v>
      </x:c>
      <x:c r="L29" s="43" t="n">
        <x:v>80</x:v>
      </x:c>
      <x:c r="M29" s="43" t="n">
        <x:v>144</x:v>
      </x:c>
      <x:c r="N29" s="43" t="n">
        <x:v>52</x:v>
      </x:c>
      <x:c r="O29" s="44" t="n">
        <x:f>INDEX('Assumptions'!$B$24:$B$29,MATCH(H29,'Assumptions'!$A$24:$A$29,0))*I29</x:f>
        <x:v>91.2375</x:v>
      </x:c>
      <x:c r="P29" s="41" t="str">
        <x:v>Medium</x:v>
      </x:c>
      <x:c r="Q29" s="45" t="n">
        <x:f>INDEX('Assumptions'!$B$18:$B$21,MATCH(P29,'Assumptions'!$A$18:$A$21,0))</x:f>
        <x:v>1.25</x:v>
      </x:c>
      <x:c r="R29" s="46" t="n">
        <x:v>0.18</x:v>
      </x:c>
      <x:c r="S29" s="47" t="n">
        <x:f>L29*R29</x:f>
        <x:v>14.399999999999999</x:v>
      </x:c>
      <x:c r="T29" s="48" t="n">
        <x:v>100</x:v>
      </x:c>
      <x:c r="U29" s="41" t="n">
        <x:v>3</x:v>
      </x:c>
      <x:c r="V29" s="41" t="n">
        <x:v>50</x:v>
      </x:c>
      <x:c r="W29" s="49" t="n">
        <x:f>V29/100*'Assumptions'!$B$9</x:f>
        <x:v>0.175</x:v>
      </x:c>
      <x:c r="X29" s="49" t="n">
        <x:f>MIN('Assumptions'!$B$11,V29/100*'Assumptions'!$B$10)</x:f>
        <x:v>0.39</x:v>
      </x:c>
      <x:c r="Y29" s="41" t="n">
        <x:v>84</x:v>
      </x:c>
      <x:c r="Z29" s="41" t="n">
        <x:v>58</x:v>
      </x:c>
      <x:c r="AA29" s="50" t="n">
        <x:f>K29*O29*Q29</x:f>
        <x:v>5018.0625</x:v>
      </x:c>
      <x:c r="AB29" s="50" t="n">
        <x:f>L29*O29*Q29</x:f>
        <x:v>9123.75</x:v>
      </x:c>
      <x:c r="AC29" s="50" t="n">
        <x:f>M29*O29*Q29</x:f>
        <x:v>16422.75</x:v>
      </x:c>
      <x:c r="AD29" s="50" t="n">
        <x:f>AB29*N29</x:f>
        <x:v>474435</x:v>
      </x:c>
      <x:c r="AE29" s="50" t="n">
        <x:f>MAX(0,N29*(AB29*W29-S29*O29-T29))</x:f>
        <x:v>9507.485000000004</x:v>
      </x:c>
      <x:c r="AF29" s="50" t="n">
        <x:f>MAX(0,N29*(AB29*X29-S29*O29-T29))</x:f>
        <x:v>111511.01000000001</x:v>
      </x:c>
      <x:c r="AG29" s="47" t="n">
        <x:f>(RANK.EQ(AD29,$AD$5:$AD$157,1)-1)/(COUNT($AD$5:$AD$157)-1)*100</x:f>
        <x:v>96.71052631578947</x:v>
      </x:c>
      <x:c r="AH29" s="47" t="n">
        <x:f>MAX(0,MIN(100,AG29*'Assumptions'!$B$5+V29*'Assumptions'!$B$6+Y29*'Assumptions'!$B$7+Z29*'Assumptions'!$B$8-(Q29-1)*'Assumptions'!$B$12))</x:f>
        <x:v>69.77763157894736</x:v>
      </x:c>
      <x:c r="AI29" s="51" t="str">
        <x:v>Low</x:v>
      </x:c>
      <x:c r="AJ29" s="51" t="str">
        <x:v>Specialists lack agents that can operate domain tools, preserve provenance, and reproduce results.</x:v>
      </x:c>
      <x:c r="AK29" s="53" t="str">
        <x:f>IF(AND(AH29&gt;=75,V29&gt;=65,Z29&gt;=60),"Build now",IF(AND(AH29&gt;=60,V29&gt;=50),"Validate next",IF(AH29&gt;=50,"Partner or monitor","Deprioritize")))</x:f>
        <x:v>Validate next</x:v>
      </x:c>
      <x:c r="AL29" s="51" t="str">
        <x:v>Bounded agents can complete standard cases with mandatory review.</x:v>
      </x:c>
      <x:c r="AM29" s="51" t="str">
        <x:v>/Users/jaibhagat/code/prismml/agents-last-exam/tasks/life_sciences/tcga_brca_deg_analysis/task_card.json</x:v>
      </x:c>
    </x:row>
    <x:row r="30">
      <x:c r="A30" s="40" t="n">
        <x:f>COUNTIF($AH$5:$AH$157,"&gt;"&amp;AH30)+COUNTIF($AH$5:AH30,AH30)</x:f>
        <x:v>26</x:v>
      </x:c>
      <x:c r="B30" s="51" t="str">
        <x:v>business_finance/pe_screening_memo_1</x:v>
      </x:c>
      <x:c r="C30" s="51" t="str">
        <x:v>PE Screening Memo 1</x:v>
      </x:c>
      <x:c r="D30" s="51" t="str">
        <x:v>business_finance</x:v>
      </x:c>
      <x:c r="E30" s="51" t="str">
        <x:v>Accounting &amp; Finance</x:v>
      </x:c>
      <x:c r="F30" s="51" t="str">
        <x:v>Document intelligence and compliance</x:v>
      </x:c>
      <x:c r="G30" s="51" t="str">
        <x:v>Financial or operations analyst</x:v>
      </x:c>
      <x:c r="H30" s="51" t="str">
        <x:v>Management, business, and financial</x:v>
      </x:c>
      <x:c r="I30" s="52" t="n">
        <x:v>1.15</x:v>
      </x:c>
      <x:c r="J30" s="51" t="str">
        <x:v>Structured data artifact</x:v>
      </x:c>
      <x:c r="K30" s="43" t="n">
        <x:v>13</x:v>
      </x:c>
      <x:c r="L30" s="43" t="n">
        <x:v>24</x:v>
      </x:c>
      <x:c r="M30" s="43" t="n">
        <x:v>43</x:v>
      </x:c>
      <x:c r="N30" s="43" t="n">
        <x:v>24</x:v>
      </x:c>
      <x:c r="O30" s="44" t="n">
        <x:f>INDEX('Assumptions'!$B$24:$B$29,MATCH(H30,'Assumptions'!$A$24:$A$29,0))*I30</x:f>
        <x:v>100.84349999999999</x:v>
      </x:c>
      <x:c r="P30" s="41" t="str">
        <x:v>Medium</x:v>
      </x:c>
      <x:c r="Q30" s="45" t="n">
        <x:f>INDEX('Assumptions'!$B$18:$B$21,MATCH(P30,'Assumptions'!$A$18:$A$21,0))</x:f>
        <x:v>1.25</x:v>
      </x:c>
      <x:c r="R30" s="46" t="n">
        <x:v>0.18</x:v>
      </x:c>
      <x:c r="S30" s="47" t="n">
        <x:f>L30*R30</x:f>
        <x:v>4.32</x:v>
      </x:c>
      <x:c r="T30" s="48" t="n">
        <x:v>5</x:v>
      </x:c>
      <x:c r="U30" s="41" t="n">
        <x:v>5</x:v>
      </x:c>
      <x:c r="V30" s="41" t="n">
        <x:v>82</x:v>
      </x:c>
      <x:c r="W30" s="49" t="n">
        <x:f>V30/100*'Assumptions'!$B$9</x:f>
        <x:v>0.287</x:v>
      </x:c>
      <x:c r="X30" s="49" t="n">
        <x:f>MIN('Assumptions'!$B$11,V30/100*'Assumptions'!$B$10)</x:f>
        <x:v>0.6396</x:v>
      </x:c>
      <x:c r="Y30" s="41" t="n">
        <x:v>80</x:v>
      </x:c>
      <x:c r="Z30" s="41" t="n">
        <x:v>86</x:v>
      </x:c>
      <x:c r="AA30" s="50" t="n">
        <x:f>K30*O30*Q30</x:f>
        <x:v>1638.7068749999999</x:v>
      </x:c>
      <x:c r="AB30" s="50" t="n">
        <x:f>L30*O30*Q30</x:f>
        <x:v>3025.3049999999994</x:v>
      </x:c>
      <x:c r="AC30" s="50" t="n">
        <x:f>M30*O30*Q30</x:f>
        <x:v>5420.338124999999</x:v>
      </x:c>
      <x:c r="AD30" s="50" t="n">
        <x:f>AB30*N30</x:f>
        <x:v>72607.31999999998</x:v>
      </x:c>
      <x:c r="AE30" s="50" t="n">
        <x:f>MAX(0,N30*(AB30*W30-S30*O30-T30))</x:f>
        <x:v>10262.846759999993</x:v>
      </x:c>
      <x:c r="AF30" s="50" t="n">
        <x:f>MAX(0,N30*(AB30*X30-S30*O30-T30))</x:f>
        <x:v>35864.18779199999</x:v>
      </x:c>
      <x:c r="AG30" s="47" t="n">
        <x:f>(RANK.EQ(AD30,$AD$5:$AD$157,1)-1)/(COUNT($AD$5:$AD$157)-1)*100</x:f>
        <x:v>38.15789473684211</x:v>
      </x:c>
      <x:c r="AH30" s="47" t="n">
        <x:f>MAX(0,MIN(100,AG30*'Assumptions'!$B$5+V30*'Assumptions'!$B$6+Y30*'Assumptions'!$B$7+Z30*'Assumptions'!$B$8-(Q30-1)*'Assumptions'!$B$12))</x:f>
        <x:v>69.33947368421053</x:v>
      </x:c>
      <x:c r="AI30" s="51" t="str">
        <x:v>Medium</x:v>
      </x:c>
      <x:c r="AJ30" s="51" t="str">
        <x:v>Domain-specific document work needs reliable citations, schemas, and review routing rather than generic chat.</x:v>
      </x:c>
      <x:c r="AK30" s="53" t="str">
        <x:f>IF(AND(AH30&gt;=75,V30&gt;=65,Z30&gt;=60),"Build now",IF(AND(AH30&gt;=60,V30&gt;=50),"Validate next",IF(AH30&gt;=50,"Partner or monitor","Deprioritize")))</x:f>
        <x:v>Validate next</x:v>
      </x:c>
      <x:c r="AL30" s="51" t="str">
        <x:v>Commodity automation exists for most of the work unit.</x:v>
      </x:c>
      <x:c r="AM30" s="51" t="str">
        <x:v>/Users/jaibhagat/code/prismml/agents-last-exam/tasks/business_finance/pe_screening_memo_1/task_card.json</x:v>
      </x:c>
    </x:row>
    <x:row r="31">
      <x:c r="A31" s="40" t="n">
        <x:f>COUNTIF($AH$5:$AH$157,"&gt;"&amp;AH31)+COUNTIF($AH$5:AH31,AH31)</x:f>
        <x:v>27</x:v>
      </x:c>
      <x:c r="B31" s="51" t="str">
        <x:v>health_medicine/obermeyer_bias_reproduction</x:v>
      </x:c>
      <x:c r="C31" s="51" t="str">
        <x:v>obermeyer bias reproduction</x:v>
      </x:c>
      <x:c r="D31" s="51" t="str">
        <x:v>health_medicine</x:v>
      </x:c>
      <x:c r="E31" s="51" t="str">
        <x:v>Public Health &amp; Epidemiology</x:v>
      </x:c>
      <x:c r="F31" s="51" t="str">
        <x:v>Document intelligence and compliance</x:v>
      </x:c>
      <x:c r="G31" s="51" t="str">
        <x:v>Clinical data scientist or medical specialist</x:v>
      </x:c>
      <x:c r="H31" s="51" t="str">
        <x:v>Professional and related</x:v>
      </x:c>
      <x:c r="I31" s="52" t="n">
        <x:v>1.3</x:v>
      </x:c>
      <x:c r="J31" s="51" t="str">
        <x:v>Structured data artifact</x:v>
      </x:c>
      <x:c r="K31" s="43" t="n">
        <x:v>13</x:v>
      </x:c>
      <x:c r="L31" s="43" t="n">
        <x:v>24</x:v>
      </x:c>
      <x:c r="M31" s="43" t="n">
        <x:v>43</x:v>
      </x:c>
      <x:c r="N31" s="43" t="n">
        <x:v>24</x:v>
      </x:c>
      <x:c r="O31" s="44" t="n">
        <x:f>INDEX('Assumptions'!$B$24:$B$29,MATCH(H31,'Assumptions'!$A$24:$A$29,0))*I31</x:f>
        <x:v>94.887</x:v>
      </x:c>
      <x:c r="P31" s="41" t="str">
        <x:v>High</x:v>
      </x:c>
      <x:c r="Q31" s="45" t="n">
        <x:f>INDEX('Assumptions'!$B$18:$B$21,MATCH(P31,'Assumptions'!$A$18:$A$21,0))</x:f>
        <x:v>1.6</x:v>
      </x:c>
      <x:c r="R31" s="46" t="n">
        <x:v>0.28</x:v>
      </x:c>
      <x:c r="S31" s="47" t="n">
        <x:f>L31*R31</x:f>
        <x:v>6.720000000000001</x:v>
      </x:c>
      <x:c r="T31" s="48" t="n">
        <x:v>5</x:v>
      </x:c>
      <x:c r="U31" s="41" t="n">
        <x:v>5</x:v>
      </x:c>
      <x:c r="V31" s="41" t="n">
        <x:v>82</x:v>
      </x:c>
      <x:c r="W31" s="49" t="n">
        <x:f>V31/100*'Assumptions'!$B$9</x:f>
        <x:v>0.287</x:v>
      </x:c>
      <x:c r="X31" s="49" t="n">
        <x:f>MIN('Assumptions'!$B$11,V31/100*'Assumptions'!$B$10)</x:f>
        <x:v>0.6396</x:v>
      </x:c>
      <x:c r="Y31" s="41" t="n">
        <x:v>80</x:v>
      </x:c>
      <x:c r="Z31" s="41" t="n">
        <x:v>78</x:v>
      </x:c>
      <x:c r="AA31" s="50" t="n">
        <x:f>K31*O31*Q31</x:f>
        <x:v>1973.6496</x:v>
      </x:c>
      <x:c r="AB31" s="50" t="n">
        <x:f>L31*O31*Q31</x:f>
        <x:v>3643.6608</x:v>
      </x:c>
      <x:c r="AC31" s="50" t="n">
        <x:f>M31*O31*Q31</x:f>
        <x:v>6528.225600000001</x:v>
      </x:c>
      <x:c r="AD31" s="50" t="n">
        <x:f>AB31*N31</x:f>
        <x:v>87447.8592</x:v>
      </x:c>
      <x:c r="AE31" s="50" t="n">
        <x:f>MAX(0,N31*(AB31*W31-S31*O31-T31))</x:f>
        <x:v>9674.160230399995</x:v>
      </x:c>
      <x:c r="AF31" s="50" t="n">
        <x:f>MAX(0,N31*(AB31*X31-S31*O31-T31))</x:f>
        <x:v>40508.27538431999</x:v>
      </x:c>
      <x:c r="AG31" s="47" t="n">
        <x:f>(RANK.EQ(AD31,$AD$5:$AD$157,1)-1)/(COUNT($AD$5:$AD$157)-1)*100</x:f>
        <x:v>53.94736842105263</x:v>
      </x:c>
      <x:c r="AH31" s="47" t="n">
        <x:f>MAX(0,MIN(100,AG31*'Assumptions'!$B$5+V31*'Assumptions'!$B$6+Y31*'Assumptions'!$B$7+Z31*'Assumptions'!$B$8-(Q31-1)*'Assumptions'!$B$12))</x:f>
        <x:v>68.88684210526317</x:v>
      </x:c>
      <x:c r="AI31" s="51" t="str">
        <x:v>Medium</x:v>
      </x:c>
      <x:c r="AJ31" s="51" t="str">
        <x:v>Domain-specific document work needs reliable citations, schemas, and review routing rather than generic chat.</x:v>
      </x:c>
      <x:c r="AK31" s="53" t="str">
        <x:f>IF(AND(AH31&gt;=75,V31&gt;=65,Z31&gt;=60),"Build now",IF(AND(AH31&gt;=60,V31&gt;=50),"Validate next",IF(AH31&gt;=50,"Partner or monitor","Deprioritize")))</x:f>
        <x:v>Validate next</x:v>
      </x:c>
      <x:c r="AL31" s="51" t="str">
        <x:v>Commodity automation exists for most of the work unit.</x:v>
      </x:c>
      <x:c r="AM31" s="51" t="str">
        <x:v>/Users/jaibhagat/code/prismml/agents-last-exam/tasks/health_medicine/obermeyer_bias_reproduction/task_card.json</x:v>
      </x:c>
    </x:row>
    <x:row r="32">
      <x:c r="A32" s="40" t="n">
        <x:f>COUNTIF($AH$5:$AH$157,"&gt;"&amp;AH32)+COUNTIF($AH$5:AH32,AH32)</x:f>
        <x:v>28</x:v>
      </x:c>
      <x:c r="B32" s="51" t="str">
        <x:v>life_sciences/protein_function_annotation_instance_1</x:v>
      </x:c>
      <x:c r="C32" s="51" t="str">
        <x:v>Protein Function Annotation With InterProScan</x:v>
      </x:c>
      <x:c r="D32" s="51" t="str">
        <x:v>life_sciences</x:v>
      </x:c>
      <x:c r="E32" s="51" t="str">
        <x:v>Genomics &amp; Sequence Analysis</x:v>
      </x:c>
      <x:c r="F32" s="51" t="str">
        <x:v>Software and data engineering</x:v>
      </x:c>
      <x:c r="G32" s="51" t="str">
        <x:v>Bioinformatics or life-science researcher</x:v>
      </x:c>
      <x:c r="H32" s="51" t="str">
        <x:v>Professional and related</x:v>
      </x:c>
      <x:c r="I32" s="52" t="n">
        <x:v>1.25</x:v>
      </x:c>
      <x:c r="J32" s="51" t="str">
        <x:v>Structured data artifact</x:v>
      </x:c>
      <x:c r="K32" s="43" t="n">
        <x:v>20</x:v>
      </x:c>
      <x:c r="L32" s="43" t="n">
        <x:v>36</x:v>
      </x:c>
      <x:c r="M32" s="43" t="n">
        <x:v>65</x:v>
      </x:c>
      <x:c r="N32" s="43" t="n">
        <x:v>52</x:v>
      </x:c>
      <x:c r="O32" s="44" t="n">
        <x:f>INDEX('Assumptions'!$B$24:$B$29,MATCH(H32,'Assumptions'!$A$24:$A$29,0))*I32</x:f>
        <x:v>91.2375</x:v>
      </x:c>
      <x:c r="P32" s="41" t="str">
        <x:v>Medium</x:v>
      </x:c>
      <x:c r="Q32" s="45" t="n">
        <x:f>INDEX('Assumptions'!$B$18:$B$21,MATCH(P32,'Assumptions'!$A$18:$A$21,0))</x:f>
        <x:v>1.25</x:v>
      </x:c>
      <x:c r="R32" s="46" t="n">
        <x:v>0.18</x:v>
      </x:c>
      <x:c r="S32" s="47" t="n">
        <x:f>L32*R32</x:f>
        <x:v>6.4799999999999995</x:v>
      </x:c>
      <x:c r="T32" s="48" t="n">
        <x:v>20</x:v>
      </x:c>
      <x:c r="U32" s="41" t="n">
        <x:v>4</x:v>
      </x:c>
      <x:c r="V32" s="41" t="n">
        <x:v>64</x:v>
      </x:c>
      <x:c r="W32" s="49" t="n">
        <x:f>V32/100*'Assumptions'!$B$9</x:f>
        <x:v>0.22399999999999998</x:v>
      </x:c>
      <x:c r="X32" s="49" t="n">
        <x:f>MIN('Assumptions'!$B$11,V32/100*'Assumptions'!$B$10)</x:f>
        <x:v>0.49920000000000003</x:v>
      </x:c>
      <x:c r="Y32" s="41" t="n">
        <x:v>56</x:v>
      </x:c>
      <x:c r="Z32" s="41" t="n">
        <x:v>76</x:v>
      </x:c>
      <x:c r="AA32" s="50" t="n">
        <x:f>K32*O32*Q32</x:f>
        <x:v>2280.9375</x:v>
      </x:c>
      <x:c r="AB32" s="50" t="n">
        <x:f>L32*O32*Q32</x:f>
        <x:v>4105.6875</x:v>
      </x:c>
      <x:c r="AC32" s="50" t="n">
        <x:f>M32*O32*Q32</x:f>
        <x:v>7413.046875</x:v>
      </x:c>
      <x:c r="AD32" s="50" t="n">
        <x:f>AB32*N32</x:f>
        <x:v>213495.75</x:v>
      </x:c>
      <x:c r="AE32" s="50" t="n">
        <x:f>MAX(0,N32*(AB32*W32-S32*O32-T32))</x:f>
        <x:v>16039.659999999996</x:v>
      </x:c>
      <x:c r="AF32" s="50" t="n">
        <x:f>MAX(0,N32*(AB32*X32-S32*O32-T32))</x:f>
        <x:v>74793.6904</x:v>
      </x:c>
      <x:c r="AG32" s="47" t="n">
        <x:f>(RANK.EQ(AD32,$AD$5:$AD$157,1)-1)/(COUNT($AD$5:$AD$157)-1)*100</x:f>
        <x:v>89.47368421052632</x:v>
      </x:c>
      <x:c r="AH32" s="47" t="n">
        <x:f>MAX(0,MIN(100,AG32*'Assumptions'!$B$5+V32*'Assumptions'!$B$6+Y32*'Assumptions'!$B$7+Z32*'Assumptions'!$B$8-(Q32-1)*'Assumptions'!$B$12))</x:f>
        <x:v>68.76842105263158</x:v>
      </x:c>
      <x:c r="AI32" s="51" t="str">
        <x:v>Low</x:v>
      </x:c>
      <x:c r="AJ32" s="51" t="str">
        <x:v>The gap is verified repair and migration inside constrained environments, with evidence that changes work.</x:v>
      </x:c>
      <x:c r="AK32" s="53" t="str">
        <x:f>IF(AND(AH32&gt;=75,V32&gt;=65,Z32&gt;=60),"Build now",IF(AND(AH32&gt;=60,V32&gt;=50),"Validate next",IF(AH32&gt;=50,"Partner or monitor","Deprioritize")))</x:f>
        <x:v>Validate next</x:v>
      </x:c>
      <x:c r="AL32" s="51" t="str">
        <x:v>Production automation is feasible for standard cases with exception routing.</x:v>
      </x:c>
      <x:c r="AM32" s="51" t="str">
        <x:v>/Users/jaibhagat/code/prismml/agents-last-exam/tasks/life_sciences/protein_function_annotation_instance_1/task_card.json</x:v>
      </x:c>
    </x:row>
    <x:row r="33">
      <x:c r="A33" s="40" t="n">
        <x:f>COUNTIF($AH$5:$AH$157,"&gt;"&amp;AH33)+COUNTIF($AH$5:AH33,AH33)</x:f>
        <x:v>29</x:v>
      </x:c>
      <x:c r="B33" s="51" t="str">
        <x:v>engineering/sumo_urban_am_peak_calibration</x:v>
      </x:c>
      <x:c r="C33" s="51" t="str">
        <x:v>SUMO Urban AM Peak Calibration</x:v>
      </x:c>
      <x:c r="D33" s="51" t="str">
        <x:v>engineering</x:v>
      </x:c>
      <x:c r="E33" s="51" t="str">
        <x:v>Urban &amp; Spatial Planning</x:v>
      </x:c>
      <x:c r="F33" s="51" t="str">
        <x:v>Document intelligence and compliance</x:v>
      </x:c>
      <x:c r="G33" s="51" t="str">
        <x:v>Specialist engineer</x:v>
      </x:c>
      <x:c r="H33" s="51" t="str">
        <x:v>Professional and related</x:v>
      </x:c>
      <x:c r="I33" s="52" t="n">
        <x:v>1.2</x:v>
      </x:c>
      <x:c r="J33" s="51" t="str">
        <x:v>Structured data artifact</x:v>
      </x:c>
      <x:c r="K33" s="43" t="n">
        <x:v>13</x:v>
      </x:c>
      <x:c r="L33" s="43" t="n">
        <x:v>24</x:v>
      </x:c>
      <x:c r="M33" s="43" t="n">
        <x:v>43</x:v>
      </x:c>
      <x:c r="N33" s="43" t="n">
        <x:v>24</x:v>
      </x:c>
      <x:c r="O33" s="44" t="n">
        <x:f>INDEX('Assumptions'!$B$24:$B$29,MATCH(H33,'Assumptions'!$A$24:$A$29,0))*I33</x:f>
        <x:v>87.588</x:v>
      </x:c>
      <x:c r="P33" s="41" t="str">
        <x:v>High</x:v>
      </x:c>
      <x:c r="Q33" s="45" t="n">
        <x:f>INDEX('Assumptions'!$B$18:$B$21,MATCH(P33,'Assumptions'!$A$18:$A$21,0))</x:f>
        <x:v>1.6</x:v>
      </x:c>
      <x:c r="R33" s="46" t="n">
        <x:v>0.28</x:v>
      </x:c>
      <x:c r="S33" s="47" t="n">
        <x:f>L33*R33</x:f>
        <x:v>6.720000000000001</x:v>
      </x:c>
      <x:c r="T33" s="48" t="n">
        <x:v>5</x:v>
      </x:c>
      <x:c r="U33" s="41" t="n">
        <x:v>5</x:v>
      </x:c>
      <x:c r="V33" s="41" t="n">
        <x:v>82</x:v>
      </x:c>
      <x:c r="W33" s="49" t="n">
        <x:f>V33/100*'Assumptions'!$B$9</x:f>
        <x:v>0.287</x:v>
      </x:c>
      <x:c r="X33" s="49" t="n">
        <x:f>MIN('Assumptions'!$B$11,V33/100*'Assumptions'!$B$10)</x:f>
        <x:v>0.6396</x:v>
      </x:c>
      <x:c r="Y33" s="41" t="n">
        <x:v>80</x:v>
      </x:c>
      <x:c r="Z33" s="41" t="n">
        <x:v>78</x:v>
      </x:c>
      <x:c r="AA33" s="50" t="n">
        <x:f>K33*O33*Q33</x:f>
        <x:v>1821.8304</x:v>
      </x:c>
      <x:c r="AB33" s="50" t="n">
        <x:f>L33*O33*Q33</x:f>
        <x:v>3363.3792000000003</x:v>
      </x:c>
      <x:c r="AC33" s="50" t="n">
        <x:f>M33*O33*Q33</x:f>
        <x:v>6026.0544</x:v>
      </x:c>
      <x:c r="AD33" s="50" t="n">
        <x:f>AB33*N33</x:f>
        <x:v>80721.10080000001</x:v>
      </x:c>
      <x:c r="AE33" s="50" t="n">
        <x:f>MAX(0,N33*(AB33*W33-S33*O33-T33))</x:f>
        <x:v>8920.7632896</x:v>
      </x:c>
      <x:c r="AF33" s="50" t="n">
        <x:f>MAX(0,N33*(AB33*X33-S33*O33-T33))</x:f>
        <x:v>37383.023431680005</x:v>
      </x:c>
      <x:c r="AG33" s="47" t="n">
        <x:f>(RANK.EQ(AD33,$AD$5:$AD$157,1)-1)/(COUNT($AD$5:$AD$157)-1)*100</x:f>
        <x:v>53.289473684210535</x:v>
      </x:c>
      <x:c r="AH33" s="47" t="n">
        <x:f>MAX(0,MIN(100,AG33*'Assumptions'!$B$5+V33*'Assumptions'!$B$6+Y33*'Assumptions'!$B$7+Z33*'Assumptions'!$B$8-(Q33-1)*'Assumptions'!$B$12))</x:f>
        <x:v>68.72236842105264</x:v>
      </x:c>
      <x:c r="AI33" s="51" t="str">
        <x:v>Medium</x:v>
      </x:c>
      <x:c r="AJ33" s="51" t="str">
        <x:v>Organizations need repeatable extraction and evidence workflows across inconsistent source formats.</x:v>
      </x:c>
      <x:c r="AK33" s="53" t="str">
        <x:f>IF(AND(AH33&gt;=75,V33&gt;=65,Z33&gt;=60),"Build now",IF(AND(AH33&gt;=60,V33&gt;=50),"Validate next",IF(AH33&gt;=50,"Partner or monitor","Deprioritize")))</x:f>
        <x:v>Validate next</x:v>
      </x:c>
      <x:c r="AL33" s="51" t="str">
        <x:v>Commodity automation exists for most of the work unit.</x:v>
      </x:c>
      <x:c r="AM33" s="51" t="str">
        <x:v>/Users/jaibhagat/code/prismml/agents-last-exam/tasks/engineering/sumo_urban_am_peak_calibration/task_card.json</x:v>
      </x:c>
    </x:row>
    <x:row r="34">
      <x:c r="A34" s="40" t="n">
        <x:f>COUNTIF($AH$5:$AH$157,"&gt;"&amp;AH34)+COUNTIF($AH$5:AH34,AH34)</x:f>
        <x:v>30</x:v>
      </x:c>
      <x:c r="B34" s="51" t="str">
        <x:v>life_sciences/gene_expression_differential_analysis_functional_enrichment_analysis_1</x:v>
      </x:c>
      <x:c r="C34" s="51" t="str">
        <x:v>BRCA Differential Expression And KEGG Enrichment Analysis</x:v>
      </x:c>
      <x:c r="D34" s="51" t="str">
        <x:v>life_sciences</x:v>
      </x:c>
      <x:c r="E34" s="51" t="str">
        <x:v>Genomics &amp; Sequence Analysis</x:v>
      </x:c>
      <x:c r="F34" s="51" t="str">
        <x:v>Document intelligence and compliance</x:v>
      </x:c>
      <x:c r="G34" s="51" t="str">
        <x:v>Bioinformatics or life-science researcher</x:v>
      </x:c>
      <x:c r="H34" s="51" t="str">
        <x:v>Professional and related</x:v>
      </x:c>
      <x:c r="I34" s="52" t="n">
        <x:v>1.25</x:v>
      </x:c>
      <x:c r="J34" s="51" t="str">
        <x:v>Structured data artifact</x:v>
      </x:c>
      <x:c r="K34" s="43" t="n">
        <x:v>13</x:v>
      </x:c>
      <x:c r="L34" s="43" t="n">
        <x:v>24</x:v>
      </x:c>
      <x:c r="M34" s="43" t="n">
        <x:v>43</x:v>
      </x:c>
      <x:c r="N34" s="43" t="n">
        <x:v>24</x:v>
      </x:c>
      <x:c r="O34" s="44" t="n">
        <x:f>INDEX('Assumptions'!$B$24:$B$29,MATCH(H34,'Assumptions'!$A$24:$A$29,0))*I34</x:f>
        <x:v>91.2375</x:v>
      </x:c>
      <x:c r="P34" s="41" t="str">
        <x:v>Medium</x:v>
      </x:c>
      <x:c r="Q34" s="45" t="n">
        <x:f>INDEX('Assumptions'!$B$18:$B$21,MATCH(P34,'Assumptions'!$A$18:$A$21,0))</x:f>
        <x:v>1.25</x:v>
      </x:c>
      <x:c r="R34" s="46" t="n">
        <x:v>0.18</x:v>
      </x:c>
      <x:c r="S34" s="47" t="n">
        <x:f>L34*R34</x:f>
        <x:v>4.32</x:v>
      </x:c>
      <x:c r="T34" s="48" t="n">
        <x:v>5</x:v>
      </x:c>
      <x:c r="U34" s="41" t="n">
        <x:v>5</x:v>
      </x:c>
      <x:c r="V34" s="41" t="n">
        <x:v>82</x:v>
      </x:c>
      <x:c r="W34" s="49" t="n">
        <x:f>V34/100*'Assumptions'!$B$9</x:f>
        <x:v>0.287</x:v>
      </x:c>
      <x:c r="X34" s="49" t="n">
        <x:f>MIN('Assumptions'!$B$11,V34/100*'Assumptions'!$B$10)</x:f>
        <x:v>0.6396</x:v>
      </x:c>
      <x:c r="Y34" s="41" t="n">
        <x:v>80</x:v>
      </x:c>
      <x:c r="Z34" s="41" t="n">
        <x:v>86</x:v>
      </x:c>
      <x:c r="AA34" s="50" t="n">
        <x:f>K34*O34*Q34</x:f>
        <x:v>1482.6093749999998</x:v>
      </x:c>
      <x:c r="AB34" s="50" t="n">
        <x:f>L34*O34*Q34</x:f>
        <x:v>2737.125</x:v>
      </x:c>
      <x:c r="AC34" s="50" t="n">
        <x:f>M34*O34*Q34</x:f>
        <x:v>4904.015625</x:v>
      </x:c>
      <x:c r="AD34" s="50" t="n">
        <x:f>AB34*N34</x:f>
        <x:v>65691</x:v>
      </x:c>
      <x:c r="AE34" s="50" t="n">
        <x:f>MAX(0,N34*(AB34*W34-S34*O34-T34))</x:f>
        <x:v>9273.812999999998</x:v>
      </x:c>
      <x:c r="AF34" s="50" t="n">
        <x:f>MAX(0,N34*(AB34*X34-S34*O34-T34))</x:f>
        <x:v>32436.459599999995</x:v>
      </x:c>
      <x:c r="AG34" s="47" t="n">
        <x:f>(RANK.EQ(AD34,$AD$5:$AD$157,1)-1)/(COUNT($AD$5:$AD$157)-1)*100</x:f>
        <x:v>34.868421052631575</x:v>
      </x:c>
      <x:c r="AH34" s="47" t="n">
        <x:f>MAX(0,MIN(100,AG34*'Assumptions'!$B$5+V34*'Assumptions'!$B$6+Y34*'Assumptions'!$B$7+Z34*'Assumptions'!$B$8-(Q34-1)*'Assumptions'!$B$12))</x:f>
        <x:v>68.51710526315789</x:v>
      </x:c>
      <x:c r="AI34" s="51" t="str">
        <x:v>Medium</x:v>
      </x:c>
      <x:c r="AJ34" s="51" t="str">
        <x:v>Organizations need repeatable extraction and evidence workflows across inconsistent source formats.</x:v>
      </x:c>
      <x:c r="AK34" s="53" t="str">
        <x:f>IF(AND(AH34&gt;=75,V34&gt;=65,Z34&gt;=60),"Build now",IF(AND(AH34&gt;=60,V34&gt;=50),"Validate next",IF(AH34&gt;=50,"Partner or monitor","Deprioritize")))</x:f>
        <x:v>Validate next</x:v>
      </x:c>
      <x:c r="AL34" s="51" t="str">
        <x:v>Commodity automation exists for most of the work unit.</x:v>
      </x:c>
      <x:c r="AM34" s="51" t="str">
        <x:v>/Users/jaibhagat/code/prismml/agents-last-exam/tasks/life_sciences/gene_expression_differential_analysis_functional_enrichment_analysis_1/task_card.json</x:v>
      </x:c>
    </x:row>
    <x:row r="35">
      <x:c r="A35" s="40" t="n">
        <x:f>COUNTIF($AH$5:$AH$157,"&gt;"&amp;AH35)+COUNTIF($AH$5:AH35,AH35)</x:f>
        <x:v>31</x:v>
      </x:c>
      <x:c r="B35" s="51" t="str">
        <x:v>business_finance/legal_ma_consistency_audit_01</x:v>
      </x:c>
      <x:c r="C35" s="51" t="str">
        <x:v>M&amp;A Filing Consistency Audit</x:v>
      </x:c>
      <x:c r="D35" s="51" t="str">
        <x:v>business_finance</x:v>
      </x:c>
      <x:c r="E35" s="51" t="str">
        <x:v>Litigation Support &amp; Discovery</x:v>
      </x:c>
      <x:c r="F35" s="51" t="str">
        <x:v>Document intelligence and compliance</x:v>
      </x:c>
      <x:c r="G35" s="51" t="str">
        <x:v>Compliance, tax, or financial reporting specialist</x:v>
      </x:c>
      <x:c r="H35" s="51" t="str">
        <x:v>Management, business, and financial</x:v>
      </x:c>
      <x:c r="I35" s="52" t="n">
        <x:v>1.15</x:v>
      </x:c>
      <x:c r="J35" s="51" t="str">
        <x:v>Structured data artifact</x:v>
      </x:c>
      <x:c r="K35" s="43" t="n">
        <x:v>13</x:v>
      </x:c>
      <x:c r="L35" s="43" t="n">
        <x:v>24</x:v>
      </x:c>
      <x:c r="M35" s="43" t="n">
        <x:v>43</x:v>
      </x:c>
      <x:c r="N35" s="43" t="n">
        <x:v>24</x:v>
      </x:c>
      <x:c r="O35" s="44" t="n">
        <x:f>INDEX('Assumptions'!$B$24:$B$29,MATCH(H35,'Assumptions'!$A$24:$A$29,0))*I35</x:f>
        <x:v>100.84349999999999</x:v>
      </x:c>
      <x:c r="P35" s="41" t="str">
        <x:v>High</x:v>
      </x:c>
      <x:c r="Q35" s="45" t="n">
        <x:f>INDEX('Assumptions'!$B$18:$B$21,MATCH(P35,'Assumptions'!$A$18:$A$21,0))</x:f>
        <x:v>1.6</x:v>
      </x:c>
      <x:c r="R35" s="46" t="n">
        <x:v>0.28</x:v>
      </x:c>
      <x:c r="S35" s="47" t="n">
        <x:f>L35*R35</x:f>
        <x:v>6.720000000000001</x:v>
      </x:c>
      <x:c r="T35" s="48" t="n">
        <x:v>5</x:v>
      </x:c>
      <x:c r="U35" s="41" t="n">
        <x:v>5</x:v>
      </x:c>
      <x:c r="V35" s="41" t="n">
        <x:v>70</x:v>
      </x:c>
      <x:c r="W35" s="49" t="n">
        <x:f>V35/100*'Assumptions'!$B$9</x:f>
        <x:v>0.24499999999999997</x:v>
      </x:c>
      <x:c r="X35" s="49" t="n">
        <x:f>MIN('Assumptions'!$B$11,V35/100*'Assumptions'!$B$10)</x:f>
        <x:v>0.5459999999999999</x:v>
      </x:c>
      <x:c r="Y35" s="41" t="n">
        <x:v>94</x:v>
      </x:c>
      <x:c r="Z35" s="41" t="n">
        <x:v>68</x:v>
      </x:c>
      <x:c r="AA35" s="50" t="n">
        <x:f>K35*O35*Q35</x:f>
        <x:v>2097.5447999999997</x:v>
      </x:c>
      <x:c r="AB35" s="50" t="n">
        <x:f>L35*O35*Q35</x:f>
        <x:v>3872.3903999999998</x:v>
      </x:c>
      <x:c r="AC35" s="50" t="n">
        <x:f>M35*O35*Q35</x:f>
        <x:v>6938.0328</x:v>
      </x:c>
      <x:c r="AD35" s="50" t="n">
        <x:f>AB35*N35</x:f>
        <x:v>92937.36959999999</x:v>
      </x:c>
      <x:c r="AE35" s="50" t="n">
        <x:f>MAX(0,N35*(AB35*W35-S35*O35-T35))</x:f>
        <x:v>6385.615871999997</x:v>
      </x:c>
      <x:c r="AF35" s="50" t="n">
        <x:f>MAX(0,N35*(AB35*X35-S35*O35-T35))</x:f>
        <x:v>34359.76412159999</x:v>
      </x:c>
      <x:c r="AG35" s="47" t="n">
        <x:f>(RANK.EQ(AD35,$AD$5:$AD$157,1)-1)/(COUNT($AD$5:$AD$157)-1)*100</x:f>
        <x:v>60.526315789473685</x:v>
      </x:c>
      <x:c r="AH35" s="47" t="n">
        <x:f>MAX(0,MIN(100,AG35*'Assumptions'!$B$5+V35*'Assumptions'!$B$6+Y35*'Assumptions'!$B$7+Z35*'Assumptions'!$B$8-(Q35-1)*'Assumptions'!$B$12))</x:f>
        <x:v>68.43157894736844</x:v>
      </x:c>
      <x:c r="AI35" s="51" t="str">
        <x:v>Medium</x:v>
      </x:c>
      <x:c r="AJ35" s="51" t="str">
        <x:v>Private, multilingual document work with structured evidence and audit trails is underserved.</x:v>
      </x:c>
      <x:c r="AK35" s="53" t="str">
        <x:f>IF(AND(AH35&gt;=75,V35&gt;=65,Z35&gt;=60),"Build now",IF(AND(AH35&gt;=60,V35&gt;=50),"Validate next",IF(AH35&gt;=50,"Partner or monitor","Deprioritize")))</x:f>
        <x:v>Validate next</x:v>
      </x:c>
      <x:c r="AL35" s="51" t="str">
        <x:v>Commodity automation exists for most of the work unit.</x:v>
      </x:c>
      <x:c r="AM35" s="51" t="str">
        <x:v>/Users/jaibhagat/code/prismml/agents-last-exam/tasks/business_finance/legal_ma_consistency_audit_01/task_card.json</x:v>
      </x:c>
    </x:row>
    <x:row r="36">
      <x:c r="A36" s="40" t="n">
        <x:f>COUNTIF($AH$5:$AH$157,"&gt;"&amp;AH36)+COUNTIF($AH$5:AH36,AH36)</x:f>
        <x:v>32</x:v>
      </x:c>
      <x:c r="B36" s="51" t="str">
        <x:v>business_finance/financial_stmt_reconstruction_aapl_fy2024</x:v>
      </x:c>
      <x:c r="C36" s="51" t="str">
        <x:v>Apple FY2024 Balance Sheet Reconstruction</x:v>
      </x:c>
      <x:c r="D36" s="51" t="str">
        <x:v>business_finance</x:v>
      </x:c>
      <x:c r="E36" s="51" t="str">
        <x:v>Accounting &amp; Finance</x:v>
      </x:c>
      <x:c r="F36" s="51" t="str">
        <x:v>Document intelligence and compliance</x:v>
      </x:c>
      <x:c r="G36" s="51" t="str">
        <x:v>Financial or operations analyst</x:v>
      </x:c>
      <x:c r="H36" s="51" t="str">
        <x:v>Management, business, and financial</x:v>
      </x:c>
      <x:c r="I36" s="52" t="n">
        <x:v>1.15</x:v>
      </x:c>
      <x:c r="J36" s="51" t="str">
        <x:v>Structured data artifact</x:v>
      </x:c>
      <x:c r="K36" s="43" t="n">
        <x:v>13</x:v>
      </x:c>
      <x:c r="L36" s="43" t="n">
        <x:v>24</x:v>
      </x:c>
      <x:c r="M36" s="43" t="n">
        <x:v>43</x:v>
      </x:c>
      <x:c r="N36" s="43" t="n">
        <x:v>24</x:v>
      </x:c>
      <x:c r="O36" s="44" t="n">
        <x:f>INDEX('Assumptions'!$B$24:$B$29,MATCH(H36,'Assumptions'!$A$24:$A$29,0))*I36</x:f>
        <x:v>100.84349999999999</x:v>
      </x:c>
      <x:c r="P36" s="41" t="str">
        <x:v>Medium</x:v>
      </x:c>
      <x:c r="Q36" s="45" t="n">
        <x:f>INDEX('Assumptions'!$B$18:$B$21,MATCH(P36,'Assumptions'!$A$18:$A$21,0))</x:f>
        <x:v>1.25</x:v>
      </x:c>
      <x:c r="R36" s="46" t="n">
        <x:v>0.18</x:v>
      </x:c>
      <x:c r="S36" s="47" t="n">
        <x:f>L36*R36</x:f>
        <x:v>4.32</x:v>
      </x:c>
      <x:c r="T36" s="48" t="n">
        <x:v>5</x:v>
      </x:c>
      <x:c r="U36" s="41" t="n">
        <x:v>5</x:v>
      </x:c>
      <x:c r="V36" s="41" t="n">
        <x:v>82</x:v>
      </x:c>
      <x:c r="W36" s="49" t="n">
        <x:f>V36/100*'Assumptions'!$B$9</x:f>
        <x:v>0.287</x:v>
      </x:c>
      <x:c r="X36" s="49" t="n">
        <x:f>MIN('Assumptions'!$B$11,V36/100*'Assumptions'!$B$10)</x:f>
        <x:v>0.6396</x:v>
      </x:c>
      <x:c r="Y36" s="41" t="n">
        <x:v>80</x:v>
      </x:c>
      <x:c r="Z36" s="41" t="n">
        <x:v>81</x:v>
      </x:c>
      <x:c r="AA36" s="50" t="n">
        <x:f>K36*O36*Q36</x:f>
        <x:v>1638.7068749999999</x:v>
      </x:c>
      <x:c r="AB36" s="50" t="n">
        <x:f>L36*O36*Q36</x:f>
        <x:v>3025.3049999999994</x:v>
      </x:c>
      <x:c r="AC36" s="50" t="n">
        <x:f>M36*O36*Q36</x:f>
        <x:v>5420.338124999999</x:v>
      </x:c>
      <x:c r="AD36" s="50" t="n">
        <x:f>AB36*N36</x:f>
        <x:v>72607.31999999998</x:v>
      </x:c>
      <x:c r="AE36" s="50" t="n">
        <x:f>MAX(0,N36*(AB36*W36-S36*O36-T36))</x:f>
        <x:v>10262.846759999993</x:v>
      </x:c>
      <x:c r="AF36" s="50" t="n">
        <x:f>MAX(0,N36*(AB36*X36-S36*O36-T36))</x:f>
        <x:v>35864.18779199999</x:v>
      </x:c>
      <x:c r="AG36" s="47" t="n">
        <x:f>(RANK.EQ(AD36,$AD$5:$AD$157,1)-1)/(COUNT($AD$5:$AD$157)-1)*100</x:f>
        <x:v>38.15789473684211</x:v>
      </x:c>
      <x:c r="AH36" s="47" t="n">
        <x:f>MAX(0,MIN(100,AG36*'Assumptions'!$B$5+V36*'Assumptions'!$B$6+Y36*'Assumptions'!$B$7+Z36*'Assumptions'!$B$8-(Q36-1)*'Assumptions'!$B$12))</x:f>
        <x:v>68.33947368421053</x:v>
      </x:c>
      <x:c r="AI36" s="51" t="str">
        <x:v>Medium</x:v>
      </x:c>
      <x:c r="AJ36" s="51" t="str">
        <x:v>Domain-specific document work needs reliable citations, schemas, and review routing rather than generic chat.</x:v>
      </x:c>
      <x:c r="AK36" s="53" t="str">
        <x:f>IF(AND(AH36&gt;=75,V36&gt;=65,Z36&gt;=60),"Build now",IF(AND(AH36&gt;=60,V36&gt;=50),"Validate next",IF(AH36&gt;=50,"Partner or monitor","Deprioritize")))</x:f>
        <x:v>Validate next</x:v>
      </x:c>
      <x:c r="AL36" s="51" t="str">
        <x:v>Commodity automation exists for most of the work unit.</x:v>
      </x:c>
      <x:c r="AM36" s="51" t="str">
        <x:v>/Users/jaibhagat/code/prismml/agents-last-exam/tasks/business_finance/financial_stmt_reconstruction_aapl_fy2024/task_card.json</x:v>
      </x:c>
    </x:row>
    <x:row r="37">
      <x:c r="A37" s="40" t="n">
        <x:f>COUNTIF($AH$5:$AH$157,"&gt;"&amp;AH37)+COUNTIF($AH$5:AH37,AH37)</x:f>
        <x:v>33</x:v>
      </x:c>
      <x:c r="B37" s="51" t="str">
        <x:v>agriculture_env/crop_rotation_d02</x:v>
      </x:c>
      <x:c r="C37" s="51" t="str">
        <x:v>Crop Rotation Audit for Stable Parcels</x:v>
      </x:c>
      <x:c r="D37" s="51" t="str">
        <x:v>agriculture_env</x:v>
      </x:c>
      <x:c r="E37" s="51" t="str">
        <x:v>Precision Agriculture</x:v>
      </x:c>
      <x:c r="F37" s="51" t="str">
        <x:v>Document intelligence and compliance</x:v>
      </x:c>
      <x:c r="G37" s="51" t="str">
        <x:v>GIS or agricultural analyst</x:v>
      </x:c>
      <x:c r="H37" s="51" t="str">
        <x:v>Professional and related</x:v>
      </x:c>
      <x:c r="I37" s="52" t="n">
        <x:v>1.05</x:v>
      </x:c>
      <x:c r="J37" s="51" t="str">
        <x:v>Structured data artifact</x:v>
      </x:c>
      <x:c r="K37" s="43" t="n">
        <x:v>13</x:v>
      </x:c>
      <x:c r="L37" s="43" t="n">
        <x:v>24</x:v>
      </x:c>
      <x:c r="M37" s="43" t="n">
        <x:v>43</x:v>
      </x:c>
      <x:c r="N37" s="43" t="n">
        <x:v>24</x:v>
      </x:c>
      <x:c r="O37" s="44" t="n">
        <x:f>INDEX('Assumptions'!$B$24:$B$29,MATCH(H37,'Assumptions'!$A$24:$A$29,0))*I37</x:f>
        <x:v>76.6395</x:v>
      </x:c>
      <x:c r="P37" s="41" t="str">
        <x:v>Medium</x:v>
      </x:c>
      <x:c r="Q37" s="45" t="n">
        <x:f>INDEX('Assumptions'!$B$18:$B$21,MATCH(P37,'Assumptions'!$A$18:$A$21,0))</x:f>
        <x:v>1.25</x:v>
      </x:c>
      <x:c r="R37" s="46" t="n">
        <x:v>0.18</x:v>
      </x:c>
      <x:c r="S37" s="47" t="n">
        <x:f>L37*R37</x:f>
        <x:v>4.32</x:v>
      </x:c>
      <x:c r="T37" s="48" t="n">
        <x:v>5</x:v>
      </x:c>
      <x:c r="U37" s="41" t="n">
        <x:v>5</x:v>
      </x:c>
      <x:c r="V37" s="41" t="n">
        <x:v>89</x:v>
      </x:c>
      <x:c r="W37" s="49" t="n">
        <x:f>V37/100*'Assumptions'!$B$9</x:f>
        <x:v>0.3115</x:v>
      </x:c>
      <x:c r="X37" s="49" t="n">
        <x:f>MIN('Assumptions'!$B$11,V37/100*'Assumptions'!$B$10)</x:f>
        <x:v>0.6942</x:v>
      </x:c>
      <x:c r="Y37" s="41" t="n">
        <x:v>80</x:v>
      </x:c>
      <x:c r="Z37" s="41" t="n">
        <x:v>81</x:v>
      </x:c>
      <x:c r="AA37" s="50" t="n">
        <x:f>K37*O37*Q37</x:f>
        <x:v>1245.391875</x:v>
      </x:c>
      <x:c r="AB37" s="50" t="n">
        <x:f>L37*O37*Q37</x:f>
        <x:v>2299.185</x:v>
      </x:c>
      <x:c r="AC37" s="50" t="n">
        <x:f>M37*O37*Q37</x:f>
        <x:v>4119.373125</x:v>
      </x:c>
      <x:c r="AD37" s="50" t="n">
        <x:f>AB37*N37</x:f>
        <x:v>55180.44</x:v>
      </x:c>
      <x:c r="AE37" s="50" t="n">
        <x:f>MAX(0,N37*(AB37*W37-S37*O37-T37))</x:f>
        <x:v>9122.723699999999</x:v>
      </x:c>
      <x:c r="AF37" s="50" t="n">
        <x:f>MAX(0,N37*(AB37*X37-S37*O37-T37))</x:f>
        <x:v>30240.278088</x:v>
      </x:c>
      <x:c r="AG37" s="47" t="n">
        <x:f>(RANK.EQ(AD37,$AD$5:$AD$157,1)-1)/(COUNT($AD$5:$AD$157)-1)*100</x:f>
        <x:v>29.605263157894733</x:v>
      </x:c>
      <x:c r="AH37" s="47" t="n">
        <x:f>MAX(0,MIN(100,AG37*'Assumptions'!$B$5+V37*'Assumptions'!$B$6+Y37*'Assumptions'!$B$7+Z37*'Assumptions'!$B$8-(Q37-1)*'Assumptions'!$B$12))</x:f>
        <x:v>68.30131578947368</x:v>
      </x:c>
      <x:c r="AI37" s="51" t="str">
        <x:v>Medium</x:v>
      </x:c>
      <x:c r="AJ37" s="51" t="str">
        <x:v>Organizations need repeatable extraction and evidence workflows across inconsistent source formats.</x:v>
      </x:c>
      <x:c r="AK37" s="53" t="str">
        <x:f>IF(AND(AH37&gt;=75,V37&gt;=65,Z37&gt;=60),"Build now",IF(AND(AH37&gt;=60,V37&gt;=50),"Validate next",IF(AH37&gt;=50,"Partner or monitor","Deprioritize")))</x:f>
        <x:v>Validate next</x:v>
      </x:c>
      <x:c r="AL37" s="51" t="str">
        <x:v>Commodity automation exists for most of the work unit.</x:v>
      </x:c>
      <x:c r="AM37" s="51" t="str">
        <x:v>/Users/jaibhagat/code/prismml/agents-last-exam/tasks/agriculture_env/crop_rotation_d02/task_card.json</x:v>
      </x:c>
    </x:row>
    <x:row r="38">
      <x:c r="A38" s="40" t="n">
        <x:f>COUNTIF($AH$5:$AH$157,"&gt;"&amp;AH38)+COUNTIF($AH$5:AH38,AH38)</x:f>
        <x:v>34</x:v>
      </x:c>
      <x:c r="B38" s="51" t="str">
        <x:v>psychology_neuro/scene2_resample</x:v>
      </x:c>
      <x:c r="C38" s="51" t="str">
        <x:v>Scene2 Resample</x:v>
      </x:c>
      <x:c r="D38" s="51" t="str">
        <x:v>psychology_neuro</x:v>
      </x:c>
      <x:c r="E38" s="51" t="str">
        <x:v>Experimental Psychology &amp; Neuroimaging</x:v>
      </x:c>
      <x:c r="F38" s="51" t="str">
        <x:v>Document intelligence and compliance</x:v>
      </x:c>
      <x:c r="G38" s="51" t="str">
        <x:v>Neuroscience or behavioral-research specialist</x:v>
      </x:c>
      <x:c r="H38" s="51" t="str">
        <x:v>Professional and related</x:v>
      </x:c>
      <x:c r="I38" s="52" t="n">
        <x:v>1.15</x:v>
      </x:c>
      <x:c r="J38" s="51" t="str">
        <x:v>Structured data artifact</x:v>
      </x:c>
      <x:c r="K38" s="43" t="n">
        <x:v>13</x:v>
      </x:c>
      <x:c r="L38" s="43" t="n">
        <x:v>24</x:v>
      </x:c>
      <x:c r="M38" s="43" t="n">
        <x:v>43</x:v>
      </x:c>
      <x:c r="N38" s="43" t="n">
        <x:v>24</x:v>
      </x:c>
      <x:c r="O38" s="44" t="n">
        <x:f>INDEX('Assumptions'!$B$24:$B$29,MATCH(H38,'Assumptions'!$A$24:$A$29,0))*I38</x:f>
        <x:v>83.93849999999999</x:v>
      </x:c>
      <x:c r="P38" s="41" t="str">
        <x:v>Medium</x:v>
      </x:c>
      <x:c r="Q38" s="45" t="n">
        <x:f>INDEX('Assumptions'!$B$18:$B$21,MATCH(P38,'Assumptions'!$A$18:$A$21,0))</x:f>
        <x:v>1.25</x:v>
      </x:c>
      <x:c r="R38" s="46" t="n">
        <x:v>0.18</x:v>
      </x:c>
      <x:c r="S38" s="47" t="n">
        <x:f>L38*R38</x:f>
        <x:v>4.32</x:v>
      </x:c>
      <x:c r="T38" s="48" t="n">
        <x:v>5</x:v>
      </x:c>
      <x:c r="U38" s="41" t="n">
        <x:v>5</x:v>
      </x:c>
      <x:c r="V38" s="41" t="n">
        <x:v>82</x:v>
      </x:c>
      <x:c r="W38" s="49" t="n">
        <x:f>V38/100*'Assumptions'!$B$9</x:f>
        <x:v>0.287</x:v>
      </x:c>
      <x:c r="X38" s="49" t="n">
        <x:f>MIN('Assumptions'!$B$11,V38/100*'Assumptions'!$B$10)</x:f>
        <x:v>0.6396</x:v>
      </x:c>
      <x:c r="Y38" s="41" t="n">
        <x:v>80</x:v>
      </x:c>
      <x:c r="Z38" s="41" t="n">
        <x:v>86</x:v>
      </x:c>
      <x:c r="AA38" s="50" t="n">
        <x:f>K38*O38*Q38</x:f>
        <x:v>1364.000625</x:v>
      </x:c>
      <x:c r="AB38" s="50" t="n">
        <x:f>L38*O38*Q38</x:f>
        <x:v>2518.1549999999997</x:v>
      </x:c>
      <x:c r="AC38" s="50" t="n">
        <x:f>M38*O38*Q38</x:f>
        <x:v>4511.694374999999</x:v>
      </x:c>
      <x:c r="AD38" s="50" t="n">
        <x:f>AB38*N38</x:f>
        <x:v>60435.719999999994</x:v>
      </x:c>
      <x:c r="AE38" s="50" t="n">
        <x:f>MAX(0,N38*(AB38*W38-S38*O38-T38))</x:f>
        <x:v>8522.307959999996</x:v>
      </x:c>
      <x:c r="AF38" s="50" t="n">
        <x:f>MAX(0,N38*(AB38*X38-S38*O38-T38))</x:f>
        <x:v>29831.942831999997</x:v>
      </x:c>
      <x:c r="AG38" s="47" t="n">
        <x:f>(RANK.EQ(AD38,$AD$5:$AD$157,1)-1)/(COUNT($AD$5:$AD$157)-1)*100</x:f>
        <x:v>30.92105263157895</x:v>
      </x:c>
      <x:c r="AH38" s="47" t="n">
        <x:f>MAX(0,MIN(100,AG38*'Assumptions'!$B$5+V38*'Assumptions'!$B$6+Y38*'Assumptions'!$B$7+Z38*'Assumptions'!$B$8-(Q38-1)*'Assumptions'!$B$12))</x:f>
        <x:v>67.53026315789474</x:v>
      </x:c>
      <x:c r="AI38" s="51" t="str">
        <x:v>Medium</x:v>
      </x:c>
      <x:c r="AJ38" s="51" t="str">
        <x:v>Organizations need repeatable extraction and evidence workflows across inconsistent source formats.</x:v>
      </x:c>
      <x:c r="AK38" s="53" t="str">
        <x:f>IF(AND(AH38&gt;=75,V38&gt;=65,Z38&gt;=60),"Build now",IF(AND(AH38&gt;=60,V38&gt;=50),"Validate next",IF(AH38&gt;=50,"Partner or monitor","Deprioritize")))</x:f>
        <x:v>Validate next</x:v>
      </x:c>
      <x:c r="AL38" s="51" t="str">
        <x:v>Commodity automation exists for most of the work unit.</x:v>
      </x:c>
      <x:c r="AM38" s="51" t="str">
        <x:v>/Users/jaibhagat/code/prismml/agents-last-exam/tasks/psychology_neuro/scene2_resample/task_card.json</x:v>
      </x:c>
    </x:row>
    <x:row r="39">
      <x:c r="A39" s="40" t="n">
        <x:f>COUNTIF($AH$5:$AH$157,"&gt;"&amp;AH39)+COUNTIF($AH$5:AH39,AH39)</x:f>
        <x:v>35</x:v>
      </x:c>
      <x:c r="B39" s="51" t="str">
        <x:v>computing_math/ghidra_malware_config_extraction_01</x:v>
      </x:c>
      <x:c r="C39" s="51" t="str">
        <x:v>Ghidra Malware Config Extraction</x:v>
      </x:c>
      <x:c r="D39" s="51" t="str">
        <x:v>computing_math</x:v>
      </x:c>
      <x:c r="E39" s="51" t="str">
        <x:v>Cybersecurity &amp; Digital Forensics</x:v>
      </x:c>
      <x:c r="F39" s="51" t="str">
        <x:v>Document intelligence and compliance</x:v>
      </x:c>
      <x:c r="G39" s="51" t="str">
        <x:v>Cybersecurity or reverse-engineering specialist</x:v>
      </x:c>
      <x:c r="H39" s="51" t="str">
        <x:v>Professional and related</x:v>
      </x:c>
      <x:c r="I39" s="52" t="n">
        <x:v>1.15</x:v>
      </x:c>
      <x:c r="J39" s="51" t="str">
        <x:v>Structured data artifact</x:v>
      </x:c>
      <x:c r="K39" s="43" t="n">
        <x:v>13</x:v>
      </x:c>
      <x:c r="L39" s="43" t="n">
        <x:v>24</x:v>
      </x:c>
      <x:c r="M39" s="43" t="n">
        <x:v>43</x:v>
      </x:c>
      <x:c r="N39" s="43" t="n">
        <x:v>24</x:v>
      </x:c>
      <x:c r="O39" s="44" t="n">
        <x:f>INDEX('Assumptions'!$B$24:$B$29,MATCH(H39,'Assumptions'!$A$24:$A$29,0))*I39</x:f>
        <x:v>83.93849999999999</x:v>
      </x:c>
      <x:c r="P39" s="41" t="str">
        <x:v>High</x:v>
      </x:c>
      <x:c r="Q39" s="45" t="n">
        <x:f>INDEX('Assumptions'!$B$18:$B$21,MATCH(P39,'Assumptions'!$A$18:$A$21,0))</x:f>
        <x:v>1.6</x:v>
      </x:c>
      <x:c r="R39" s="46" t="n">
        <x:v>0.28</x:v>
      </x:c>
      <x:c r="S39" s="47" t="n">
        <x:f>L39*R39</x:f>
        <x:v>6.720000000000001</x:v>
      </x:c>
      <x:c r="T39" s="48" t="n">
        <x:v>5</x:v>
      </x:c>
      <x:c r="U39" s="41" t="n">
        <x:v>5</x:v>
      </x:c>
      <x:c r="V39" s="41" t="n">
        <x:v>82</x:v>
      </x:c>
      <x:c r="W39" s="49" t="n">
        <x:f>V39/100*'Assumptions'!$B$9</x:f>
        <x:v>0.287</x:v>
      </x:c>
      <x:c r="X39" s="49" t="n">
        <x:f>MIN('Assumptions'!$B$11,V39/100*'Assumptions'!$B$10)</x:f>
        <x:v>0.6396</x:v>
      </x:c>
      <x:c r="Y39" s="41" t="n">
        <x:v>80</x:v>
      </x:c>
      <x:c r="Z39" s="41" t="n">
        <x:v>78</x:v>
      </x:c>
      <x:c r="AA39" s="50" t="n">
        <x:f>K39*O39*Q39</x:f>
        <x:v>1745.9207999999999</x:v>
      </x:c>
      <x:c r="AB39" s="50" t="n">
        <x:f>L39*O39*Q39</x:f>
        <x:v>3223.2384</x:v>
      </x:c>
      <x:c r="AC39" s="50" t="n">
        <x:f>M39*O39*Q39</x:f>
        <x:v>5774.9688</x:v>
      </x:c>
      <x:c r="AD39" s="50" t="n">
        <x:f>AB39*N39</x:f>
        <x:v>77357.7216</x:v>
      </x:c>
      <x:c r="AE39" s="50" t="n">
        <x:f>MAX(0,N39*(AB39*W39-S39*O39-T39))</x:f>
        <x:v>8544.064819199999</x:v>
      </x:c>
      <x:c r="AF39" s="50" t="n">
        <x:f>MAX(0,N39*(AB39*X39-S39*O39-T39))</x:f>
        <x:v>35820.39745536</x:v>
      </x:c>
      <x:c r="AG39" s="47" t="n">
        <x:f>(RANK.EQ(AD39,$AD$5:$AD$157,1)-1)/(COUNT($AD$5:$AD$157)-1)*100</x:f>
        <x:v>47.368421052631575</x:v>
      </x:c>
      <x:c r="AH39" s="47" t="n">
        <x:f>MAX(0,MIN(100,AG39*'Assumptions'!$B$5+V39*'Assumptions'!$B$6+Y39*'Assumptions'!$B$7+Z39*'Assumptions'!$B$8-(Q39-1)*'Assumptions'!$B$12))</x:f>
        <x:v>67.2421052631579</x:v>
      </x:c>
      <x:c r="AI39" s="51" t="str">
        <x:v>Medium</x:v>
      </x:c>
      <x:c r="AJ39" s="51" t="str">
        <x:v>Organizations need repeatable extraction and evidence workflows across inconsistent source formats.</x:v>
      </x:c>
      <x:c r="AK39" s="53" t="str">
        <x:f>IF(AND(AH39&gt;=75,V39&gt;=65,Z39&gt;=60),"Build now",IF(AND(AH39&gt;=60,V39&gt;=50),"Validate next",IF(AH39&gt;=50,"Partner or monitor","Deprioritize")))</x:f>
        <x:v>Validate next</x:v>
      </x:c>
      <x:c r="AL39" s="51" t="str">
        <x:v>Commodity automation exists for most of the work unit.</x:v>
      </x:c>
      <x:c r="AM39" s="51" t="str">
        <x:v>/Users/jaibhagat/code/prismml/agents-last-exam/tasks/computing_math/ghidra_malware_config_extraction_01/task_card.json</x:v>
      </x:c>
    </x:row>
    <x:row r="40">
      <x:c r="A40" s="40" t="n">
        <x:f>COUNTIF($AH$5:$AH$157,"&gt;"&amp;AH40)+COUNTIF($AH$5:AH40,AH40)</x:f>
        <x:v>36</x:v>
      </x:c>
      <x:c r="B40" s="51" t="str">
        <x:v>computing_math/cp_test_gen_1</x:v>
      </x:c>
      <x:c r="C40" s="51" t="str">
        <x:v>Competitive Programming Test Generator — Binary String Copying</x:v>
      </x:c>
      <x:c r="D40" s="51" t="str">
        <x:v>computing_math</x:v>
      </x:c>
      <x:c r="E40" s="51" t="str">
        <x:v>Software Engineering</x:v>
      </x:c>
      <x:c r="F40" s="51" t="str">
        <x:v>Document intelligence and compliance</x:v>
      </x:c>
      <x:c r="G40" s="51" t="str">
        <x:v>Software engineer or data scientist</x:v>
      </x:c>
      <x:c r="H40" s="51" t="str">
        <x:v>Professional and related</x:v>
      </x:c>
      <x:c r="I40" s="52" t="n">
        <x:v>1.15</x:v>
      </x:c>
      <x:c r="J40" s="51" t="str">
        <x:v>Report or analytical workbook</x:v>
      </x:c>
      <x:c r="K40" s="43" t="n">
        <x:v>10</x:v>
      </x:c>
      <x:c r="L40" s="43" t="n">
        <x:v>18</x:v>
      </x:c>
      <x:c r="M40" s="43" t="n">
        <x:v>32</x:v>
      </x:c>
      <x:c r="N40" s="43" t="n">
        <x:v>52</x:v>
      </x:c>
      <x:c r="O40" s="44" t="n">
        <x:f>INDEX('Assumptions'!$B$24:$B$29,MATCH(H40,'Assumptions'!$A$24:$A$29,0))*I40</x:f>
        <x:v>83.93849999999999</x:v>
      </x:c>
      <x:c r="P40" s="41" t="str">
        <x:v>Low</x:v>
      </x:c>
      <x:c r="Q40" s="45" t="n">
        <x:f>INDEX('Assumptions'!$B$18:$B$21,MATCH(P40,'Assumptions'!$A$18:$A$21,0))</x:f>
        <x:v>1</x:v>
      </x:c>
      <x:c r="R40" s="46" t="n">
        <x:v>0.1</x:v>
      </x:c>
      <x:c r="S40" s="47" t="n">
        <x:f>L40*R40</x:f>
        <x:v>1.8</x:v>
      </x:c>
      <x:c r="T40" s="48" t="n">
        <x:v>5</x:v>
      </x:c>
      <x:c r="U40" s="41" t="n">
        <x:v>4</x:v>
      </x:c>
      <x:c r="V40" s="41" t="n">
        <x:v>72</x:v>
      </x:c>
      <x:c r="W40" s="49" t="n">
        <x:f>V40/100*'Assumptions'!$B$9</x:f>
        <x:v>0.252</x:v>
      </x:c>
      <x:c r="X40" s="49" t="n">
        <x:f>MIN('Assumptions'!$B$11,V40/100*'Assumptions'!$B$10)</x:f>
        <x:v>0.5616</x:v>
      </x:c>
      <x:c r="Y40" s="41" t="n">
        <x:v>76</x:v>
      </x:c>
      <x:c r="Z40" s="41" t="n">
        <x:v>72</x:v>
      </x:c>
      <x:c r="AA40" s="50" t="n">
        <x:f>K40*O40*Q40</x:f>
        <x:v>839.3849999999999</x:v>
      </x:c>
      <x:c r="AB40" s="50" t="n">
        <x:f>L40*O40*Q40</x:f>
        <x:v>1510.8929999999998</x:v>
      </x:c>
      <x:c r="AC40" s="50" t="n">
        <x:f>M40*O40*Q40</x:f>
        <x:v>2686.0319999999997</x:v>
      </x:c>
      <x:c r="AD40" s="50" t="n">
        <x:f>AB40*N40</x:f>
        <x:v>78566.43599999999</x:v>
      </x:c>
      <x:c r="AE40" s="50" t="n">
        <x:f>MAX(0,N40*(AB40*W40-S40*O40-T40))</x:f>
        <x:v>11682.098272</x:v>
      </x:c>
      <x:c r="AF40" s="50" t="n">
        <x:f>MAX(0,N40*(AB40*X40-S40*O40-T40))</x:f>
        <x:v>36006.26685759999</x:v>
      </x:c>
      <x:c r="AG40" s="47" t="n">
        <x:f>(RANK.EQ(AD40,$AD$5:$AD$157,1)-1)/(COUNT($AD$5:$AD$157)-1)*100</x:f>
        <x:v>48.026315789473685</x:v>
      </x:c>
      <x:c r="AH40" s="47" t="n">
        <x:f>MAX(0,MIN(100,AG40*'Assumptions'!$B$5+V40*'Assumptions'!$B$6+Y40*'Assumptions'!$B$7+Z40*'Assumptions'!$B$8-(Q40-1)*'Assumptions'!$B$12))</x:f>
        <x:v>67.00657894736842</x:v>
      </x:c>
      <x:c r="AI40" s="51" t="str">
        <x:v>Medium</x:v>
      </x:c>
      <x:c r="AJ40" s="51" t="str">
        <x:v>Organizations need repeatable extraction and evidence workflows across inconsistent source formats.</x:v>
      </x:c>
      <x:c r="AK40" s="53" t="str">
        <x:f>IF(AND(AH40&gt;=75,V40&gt;=65,Z40&gt;=60),"Build now",IF(AND(AH40&gt;=60,V40&gt;=50),"Validate next",IF(AH40&gt;=50,"Partner or monitor","Deprioritize")))</x:f>
        <x:v>Validate next</x:v>
      </x:c>
      <x:c r="AL40" s="51" t="str">
        <x:v>Production automation is feasible for standard cases with exception routing.</x:v>
      </x:c>
      <x:c r="AM40" s="51" t="str">
        <x:v>/Users/jaibhagat/code/prismml/agents-last-exam/tasks/computing_math/cp_test_gen_1/task_card.json</x:v>
      </x:c>
    </x:row>
    <x:row r="41">
      <x:c r="A41" s="40" t="n">
        <x:f>COUNTIF($AH$5:$AH$157,"&gt;"&amp;AH41)+COUNTIF($AH$5:AH41,AH41)</x:f>
        <x:v>37</x:v>
      </x:c>
      <x:c r="B41" s="51" t="str">
        <x:v>business_finance/internal_employee_agent_instance_1</x:v>
      </x:c>
      <x:c r="C41" s="51" t="str">
        <x:v>Internal Employee Agent Conversation Replay</x:v>
      </x:c>
      <x:c r="D41" s="51" t="str">
        <x:v>business_finance</x:v>
      </x:c>
      <x:c r="E41" s="51" t="str">
        <x:v>HR &amp; Project Management</x:v>
      </x:c>
      <x:c r="F41" s="51" t="str">
        <x:v>Document intelligence and compliance</x:v>
      </x:c>
      <x:c r="G41" s="51" t="str">
        <x:v>Financial or operations analyst</x:v>
      </x:c>
      <x:c r="H41" s="51" t="str">
        <x:v>Management, business, and financial</x:v>
      </x:c>
      <x:c r="I41" s="52" t="n">
        <x:v>1.15</x:v>
      </x:c>
      <x:c r="J41" s="51" t="str">
        <x:v>Structured data artifact</x:v>
      </x:c>
      <x:c r="K41" s="43" t="n">
        <x:v>13</x:v>
      </x:c>
      <x:c r="L41" s="43" t="n">
        <x:v>24</x:v>
      </x:c>
      <x:c r="M41" s="43" t="n">
        <x:v>43</x:v>
      </x:c>
      <x:c r="N41" s="43" t="n">
        <x:v>24</x:v>
      </x:c>
      <x:c r="O41" s="44" t="n">
        <x:f>INDEX('Assumptions'!$B$24:$B$29,MATCH(H41,'Assumptions'!$A$24:$A$29,0))*I41</x:f>
        <x:v>100.84349999999999</x:v>
      </x:c>
      <x:c r="P41" s="41" t="str">
        <x:v>Medium</x:v>
      </x:c>
      <x:c r="Q41" s="45" t="n">
        <x:f>INDEX('Assumptions'!$B$18:$B$21,MATCH(P41,'Assumptions'!$A$18:$A$21,0))</x:f>
        <x:v>1.25</x:v>
      </x:c>
      <x:c r="R41" s="46" t="n">
        <x:v>0.18</x:v>
      </x:c>
      <x:c r="S41" s="47" t="n">
        <x:f>L41*R41</x:f>
        <x:v>4.32</x:v>
      </x:c>
      <x:c r="T41" s="48" t="n">
        <x:v>5</x:v>
      </x:c>
      <x:c r="U41" s="41" t="n">
        <x:v>5</x:v>
      </x:c>
      <x:c r="V41" s="41" t="n">
        <x:v>73</x:v>
      </x:c>
      <x:c r="W41" s="49" t="n">
        <x:f>V41/100*'Assumptions'!$B$9</x:f>
        <x:v>0.2555</x:v>
      </x:c>
      <x:c r="X41" s="49" t="n">
        <x:f>MIN('Assumptions'!$B$11,V41/100*'Assumptions'!$B$10)</x:f>
        <x:v>0.5694</x:v>
      </x:c>
      <x:c r="Y41" s="41" t="n">
        <x:v>86</x:v>
      </x:c>
      <x:c r="Z41" s="41" t="n">
        <x:v>76</x:v>
      </x:c>
      <x:c r="AA41" s="50" t="n">
        <x:f>K41*O41*Q41</x:f>
        <x:v>1638.7068749999999</x:v>
      </x:c>
      <x:c r="AB41" s="50" t="n">
        <x:f>L41*O41*Q41</x:f>
        <x:v>3025.3049999999994</x:v>
      </x:c>
      <x:c r="AC41" s="50" t="n">
        <x:f>M41*O41*Q41</x:f>
        <x:v>5420.338124999999</x:v>
      </x:c>
      <x:c r="AD41" s="50" t="n">
        <x:f>AB41*N41</x:f>
        <x:v>72607.31999999998</x:v>
      </x:c>
      <x:c r="AE41" s="50" t="n">
        <x:f>MAX(0,N41*(AB41*W41-S41*O41-T41))</x:f>
        <x:v>7975.716179999996</x:v>
      </x:c>
      <x:c r="AF41" s="50" t="n">
        <x:f>MAX(0,N41*(AB41*X41-S41*O41-T41))</x:f>
        <x:v>30767.153927999992</x:v>
      </x:c>
      <x:c r="AG41" s="47" t="n">
        <x:f>(RANK.EQ(AD41,$AD$5:$AD$157,1)-1)/(COUNT($AD$5:$AD$157)-1)*100</x:f>
        <x:v>38.15789473684211</x:v>
      </x:c>
      <x:c r="AH41" s="47" t="n">
        <x:f>MAX(0,MIN(100,AG41*'Assumptions'!$B$5+V41*'Assumptions'!$B$6+Y41*'Assumptions'!$B$7+Z41*'Assumptions'!$B$8-(Q41-1)*'Assumptions'!$B$12))</x:f>
        <x:v>66.13947368421053</x:v>
      </x:c>
      <x:c r="AI41" s="51" t="str">
        <x:v>Medium</x:v>
      </x:c>
      <x:c r="AJ41" s="51" t="str">
        <x:v>Domain-specific document work needs reliable citations, schemas, and review routing rather than generic chat.</x:v>
      </x:c>
      <x:c r="AK41" s="53" t="str">
        <x:f>IF(AND(AH41&gt;=75,V41&gt;=65,Z41&gt;=60),"Build now",IF(AND(AH41&gt;=60,V41&gt;=50),"Validate next",IF(AH41&gt;=50,"Partner or monitor","Deprioritize")))</x:f>
        <x:v>Validate next</x:v>
      </x:c>
      <x:c r="AL41" s="51" t="str">
        <x:v>Commodity automation exists for most of the work unit.</x:v>
      </x:c>
      <x:c r="AM41" s="51" t="str">
        <x:v>/Users/jaibhagat/code/prismml/agents-last-exam/tasks/business_finance/internal_employee_agent_instance_1/task_card.json</x:v>
      </x:c>
    </x:row>
    <x:row r="42">
      <x:c r="A42" s="40" t="n">
        <x:f>COUNTIF($AH$5:$AH$157,"&gt;"&amp;AH42)+COUNTIF($AH$5:AH42,AH42)</x:f>
        <x:v>38</x:v>
      </x:c>
      <x:c r="B42" s="51" t="str">
        <x:v>health_medicine/healthcare_tcga_luad_survival_kras</x:v>
      </x:c>
      <x:c r="C42" s="51" t="str">
        <x:v>TCGA LUAD KRAS Survival Analysis</x:v>
      </x:c>
      <x:c r="D42" s="51" t="str">
        <x:v>health_medicine</x:v>
      </x:c>
      <x:c r="E42" s="51" t="str">
        <x:v>Public Health &amp; Epidemiology</x:v>
      </x:c>
      <x:c r="F42" s="51" t="str">
        <x:v>Document intelligence and compliance</x:v>
      </x:c>
      <x:c r="G42" s="51" t="str">
        <x:v>Clinical data scientist or medical specialist</x:v>
      </x:c>
      <x:c r="H42" s="51" t="str">
        <x:v>Professional and related</x:v>
      </x:c>
      <x:c r="I42" s="52" t="n">
        <x:v>1.3</x:v>
      </x:c>
      <x:c r="J42" s="51" t="str">
        <x:v>Structured data artifact</x:v>
      </x:c>
      <x:c r="K42" s="43" t="n">
        <x:v>13</x:v>
      </x:c>
      <x:c r="L42" s="43" t="n">
        <x:v>24</x:v>
      </x:c>
      <x:c r="M42" s="43" t="n">
        <x:v>43</x:v>
      </x:c>
      <x:c r="N42" s="43" t="n">
        <x:v>24</x:v>
      </x:c>
      <x:c r="O42" s="44" t="n">
        <x:f>INDEX('Assumptions'!$B$24:$B$29,MATCH(H42,'Assumptions'!$A$24:$A$29,0))*I42</x:f>
        <x:v>94.887</x:v>
      </x:c>
      <x:c r="P42" s="41" t="str">
        <x:v>Critical</x:v>
      </x:c>
      <x:c r="Q42" s="45" t="n">
        <x:f>INDEX('Assumptions'!$B$18:$B$21,MATCH(P42,'Assumptions'!$A$18:$A$21,0))</x:f>
        <x:v>2.2</x:v>
      </x:c>
      <x:c r="R42" s="46" t="n">
        <x:v>0.4</x:v>
      </x:c>
      <x:c r="S42" s="47" t="n">
        <x:f>L42*R42</x:f>
        <x:v>9.600000000000001</x:v>
      </x:c>
      <x:c r="T42" s="48" t="n">
        <x:v>5</x:v>
      </x:c>
      <x:c r="U42" s="41" t="n">
        <x:v>4</x:v>
      </x:c>
      <x:c r="V42" s="41" t="n">
        <x:v>72</x:v>
      </x:c>
      <x:c r="W42" s="49" t="n">
        <x:f>V42/100*'Assumptions'!$B$9</x:f>
        <x:v>0.252</x:v>
      </x:c>
      <x:c r="X42" s="49" t="n">
        <x:f>MIN('Assumptions'!$B$11,V42/100*'Assumptions'!$B$10)</x:f>
        <x:v>0.5616</x:v>
      </x:c>
      <x:c r="Y42" s="41" t="n">
        <x:v>88</x:v>
      </x:c>
      <x:c r="Z42" s="41" t="n">
        <x:v>66</x:v>
      </x:c>
      <x:c r="AA42" s="50" t="n">
        <x:f>K42*O42*Q42</x:f>
        <x:v>2713.7682</x:v>
      </x:c>
      <x:c r="AB42" s="50" t="n">
        <x:f>L42*O42*Q42</x:f>
        <x:v>5010.033600000001</x:v>
      </x:c>
      <x:c r="AC42" s="50" t="n">
        <x:f>M42*O42*Q42</x:f>
        <x:v>8976.310200000002</x:v>
      </x:c>
      <x:c r="AD42" s="50" t="n">
        <x:f>AB42*N42</x:f>
        <x:v>120240.80640000002</x:v>
      </x:c>
      <x:c r="AE42" s="50" t="n">
        <x:f>MAX(0,N42*(AB42*W42-S42*O42-T42))</x:f>
        <x:v>8318.718412800003</x:v>
      </x:c>
      <x:c r="AF42" s="50" t="n">
        <x:f>MAX(0,N42*(AB42*X42-S42*O42-T42))</x:f>
        <x:v>45545.27207424</x:v>
      </x:c>
      <x:c r="AG42" s="47" t="n">
        <x:f>(RANK.EQ(AD42,$AD$5:$AD$157,1)-1)/(COUNT($AD$5:$AD$157)-1)*100</x:f>
        <x:v>75</x:v>
      </x:c>
      <x:c r="AH42" s="47" t="n">
        <x:f>MAX(0,MIN(100,AG42*'Assumptions'!$B$5+V42*'Assumptions'!$B$6+Y42*'Assumptions'!$B$7+Z42*'Assumptions'!$B$8-(Q42-1)*'Assumptions'!$B$12))</x:f>
        <x:v>65.94999999999999</x:v>
      </x:c>
      <x:c r="AI42" s="51" t="str">
        <x:v>Medium</x:v>
      </x:c>
      <x:c r="AJ42" s="51" t="str">
        <x:v>Domain-specific document work needs reliable citations, schemas, and review routing rather than generic chat.</x:v>
      </x:c>
      <x:c r="AK42" s="53" t="str">
        <x:f>IF(AND(AH42&gt;=75,V42&gt;=65,Z42&gt;=60),"Build now",IF(AND(AH42&gt;=60,V42&gt;=50),"Validate next",IF(AH42&gt;=50,"Partner or monitor","Deprioritize")))</x:f>
        <x:v>Validate next</x:v>
      </x:c>
      <x:c r="AL42" s="51" t="str">
        <x:v>Production automation is feasible for standard cases with exception routing. Accountable professional signoff remains necessary.</x:v>
      </x:c>
      <x:c r="AM42" s="51" t="str">
        <x:v>/Users/jaibhagat/code/prismml/agents-last-exam/tasks/health_medicine/healthcare_tcga_luad_survival_kras/task_card.json</x:v>
      </x:c>
    </x:row>
    <x:row r="43">
      <x:c r="A43" s="40" t="n">
        <x:f>COUNTIF($AH$5:$AH$157,"&gt;"&amp;AH43)+COUNTIF($AH$5:AH43,AH43)</x:f>
        <x:v>39</x:v>
      </x:c>
      <x:c r="B43" s="51" t="str">
        <x:v>computing_math/clustered_cyclic_code_circuit_level_simulation</x:v>
      </x:c>
      <x:c r="C43" s="51" t="str">
        <x:v>Clustered-Cyclic Code Circuit Simulation</x:v>
      </x:c>
      <x:c r="D43" s="51" t="str">
        <x:v>computing_math</x:v>
      </x:c>
      <x:c r="E43" s="51" t="str">
        <x:v>Quantum Computing</x:v>
      </x:c>
      <x:c r="F43" s="51" t="str">
        <x:v>Document intelligence and compliance</x:v>
      </x:c>
      <x:c r="G43" s="51" t="str">
        <x:v>Software engineer or data scientist</x:v>
      </x:c>
      <x:c r="H43" s="51" t="str">
        <x:v>Professional and related</x:v>
      </x:c>
      <x:c r="I43" s="52" t="n">
        <x:v>1.15</x:v>
      </x:c>
      <x:c r="J43" s="51" t="str">
        <x:v>Structured data artifact</x:v>
      </x:c>
      <x:c r="K43" s="43" t="n">
        <x:v>13</x:v>
      </x:c>
      <x:c r="L43" s="43" t="n">
        <x:v>24</x:v>
      </x:c>
      <x:c r="M43" s="43" t="n">
        <x:v>43</x:v>
      </x:c>
      <x:c r="N43" s="43" t="n">
        <x:v>24</x:v>
      </x:c>
      <x:c r="O43" s="44" t="n">
        <x:f>INDEX('Assumptions'!$B$24:$B$29,MATCH(H43,'Assumptions'!$A$24:$A$29,0))*I43</x:f>
        <x:v>83.93849999999999</x:v>
      </x:c>
      <x:c r="P43" s="41" t="str">
        <x:v>Low</x:v>
      </x:c>
      <x:c r="Q43" s="45" t="n">
        <x:f>INDEX('Assumptions'!$B$18:$B$21,MATCH(P43,'Assumptions'!$A$18:$A$21,0))</x:f>
        <x:v>1</x:v>
      </x:c>
      <x:c r="R43" s="46" t="n">
        <x:v>0.1</x:v>
      </x:c>
      <x:c r="S43" s="47" t="n">
        <x:f>L43*R43</x:f>
        <x:v>2.4000000000000004</x:v>
      </x:c>
      <x:c r="T43" s="48" t="n">
        <x:v>5</x:v>
      </x:c>
      <x:c r="U43" s="41" t="n">
        <x:v>5</x:v>
      </x:c>
      <x:c r="V43" s="41" t="n">
        <x:v>82</x:v>
      </x:c>
      <x:c r="W43" s="49" t="n">
        <x:f>V43/100*'Assumptions'!$B$9</x:f>
        <x:v>0.287</x:v>
      </x:c>
      <x:c r="X43" s="49" t="n">
        <x:f>MIN('Assumptions'!$B$11,V43/100*'Assumptions'!$B$10)</x:f>
        <x:v>0.6396</x:v>
      </x:c>
      <x:c r="Y43" s="41" t="n">
        <x:v>80</x:v>
      </x:c>
      <x:c r="Z43" s="41" t="n">
        <x:v>86</x:v>
      </x:c>
      <x:c r="AA43" s="50" t="n">
        <x:f>K43*O43*Q43</x:f>
        <x:v>1091.2005</x:v>
      </x:c>
      <x:c r="AB43" s="50" t="n">
        <x:f>L43*O43*Q43</x:f>
        <x:v>2014.524</x:v>
      </x:c>
      <x:c r="AC43" s="50" t="n">
        <x:f>M43*O43*Q43</x:f>
        <x:v>3609.3554999999997</x:v>
      </x:c>
      <x:c r="AD43" s="50" t="n">
        <x:f>AB43*N43</x:f>
        <x:v>48348.576</x:v>
      </x:c>
      <x:c r="AE43" s="50" t="n">
        <x:f>MAX(0,N43*(AB43*W43-S43*O43-T43))</x:f>
        <x:v>8921.183711999998</x:v>
      </x:c>
      <x:c r="AF43" s="50" t="n">
        <x:f>MAX(0,N43*(AB43*X43-S43*O43-T43))</x:f>
        <x:v>25968.8916096</x:v>
      </x:c>
      <x:c r="AG43" s="47" t="n">
        <x:f>(RANK.EQ(AD43,$AD$5:$AD$157,1)-1)/(COUNT($AD$5:$AD$157)-1)*100</x:f>
        <x:v>16.447368421052634</x:v>
      </x:c>
      <x:c r="AH43" s="47" t="n">
        <x:f>MAX(0,MIN(100,AG43*'Assumptions'!$B$5+V43*'Assumptions'!$B$6+Y43*'Assumptions'!$B$7+Z43*'Assumptions'!$B$8-(Q43-1)*'Assumptions'!$B$12))</x:f>
        <x:v>65.91184210526316</x:v>
      </x:c>
      <x:c r="AI43" s="51" t="str">
        <x:v>Medium</x:v>
      </x:c>
      <x:c r="AJ43" s="51" t="str">
        <x:v>Organizations need repeatable extraction and evidence workflows across inconsistent source formats.</x:v>
      </x:c>
      <x:c r="AK43" s="53" t="str">
        <x:f>IF(AND(AH43&gt;=75,V43&gt;=65,Z43&gt;=60),"Build now",IF(AND(AH43&gt;=60,V43&gt;=50),"Validate next",IF(AH43&gt;=50,"Partner or monitor","Deprioritize")))</x:f>
        <x:v>Validate next</x:v>
      </x:c>
      <x:c r="AL43" s="51" t="str">
        <x:v>Commodity automation exists for most of the work unit.</x:v>
      </x:c>
      <x:c r="AM43" s="51" t="str">
        <x:v>/Users/jaibhagat/code/prismml/agents-last-exam/tasks/computing_math/clustered_cyclic_code_circuit_level_simulation/task_card.json</x:v>
      </x:c>
    </x:row>
    <x:row r="44">
      <x:c r="A44" s="40" t="n">
        <x:f>COUNTIF($AH$5:$AH$157,"&gt;"&amp;AH44)+COUNTIF($AH$5:AH44,AH44)</x:f>
        <x:v>40</x:v>
      </x:c>
      <x:c r="B44" s="51" t="str">
        <x:v>engineering/humanoid_velocity_tracking_policy</x:v>
      </x:c>
      <x:c r="C44" s="51" t="str">
        <x:v>Humanoid Velocity Tracking Policy</x:v>
      </x:c>
      <x:c r="D44" s="51" t="str">
        <x:v>engineering</x:v>
      </x:c>
      <x:c r="E44" s="51" t="str">
        <x:v>Robotics &amp; Autonomous Systems</x:v>
      </x:c>
      <x:c r="F44" s="51" t="str">
        <x:v>Document intelligence and compliance</x:v>
      </x:c>
      <x:c r="G44" s="51" t="str">
        <x:v>Specialist engineer</x:v>
      </x:c>
      <x:c r="H44" s="51" t="str">
        <x:v>Professional and related</x:v>
      </x:c>
      <x:c r="I44" s="52" t="n">
        <x:v>1.2</x:v>
      </x:c>
      <x:c r="J44" s="51" t="str">
        <x:v>Verified analytical output</x:v>
      </x:c>
      <x:c r="K44" s="43" t="n">
        <x:v>13</x:v>
      </x:c>
      <x:c r="L44" s="43" t="n">
        <x:v>24</x:v>
      </x:c>
      <x:c r="M44" s="43" t="n">
        <x:v>43</x:v>
      </x:c>
      <x:c r="N44" s="43" t="n">
        <x:v>24</x:v>
      </x:c>
      <x:c r="O44" s="44" t="n">
        <x:f>INDEX('Assumptions'!$B$24:$B$29,MATCH(H44,'Assumptions'!$A$24:$A$29,0))*I44</x:f>
        <x:v>87.588</x:v>
      </x:c>
      <x:c r="P44" s="41" t="str">
        <x:v>Critical</x:v>
      </x:c>
      <x:c r="Q44" s="45" t="n">
        <x:f>INDEX('Assumptions'!$B$18:$B$21,MATCH(P44,'Assumptions'!$A$18:$A$21,0))</x:f>
        <x:v>2.2</x:v>
      </x:c>
      <x:c r="R44" s="46" t="n">
        <x:v>0.4</x:v>
      </x:c>
      <x:c r="S44" s="47" t="n">
        <x:f>L44*R44</x:f>
        <x:v>9.600000000000001</x:v>
      </x:c>
      <x:c r="T44" s="48" t="n">
        <x:v>5</x:v>
      </x:c>
      <x:c r="U44" s="41" t="n">
        <x:v>4</x:v>
      </x:c>
      <x:c r="V44" s="41" t="n">
        <x:v>79</x:v>
      </x:c>
      <x:c r="W44" s="49" t="n">
        <x:f>V44/100*'Assumptions'!$B$9</x:f>
        <x:v>0.27649999999999997</x:v>
      </x:c>
      <x:c r="X44" s="49" t="n">
        <x:f>MIN('Assumptions'!$B$11,V44/100*'Assumptions'!$B$10)</x:f>
        <x:v>0.6162000000000001</x:v>
      </x:c>
      <x:c r="Y44" s="41" t="n">
        <x:v>80</x:v>
      </x:c>
      <x:c r="Z44" s="41" t="n">
        <x:v>66</x:v>
      </x:c>
      <x:c r="AA44" s="50" t="n">
        <x:f>K44*O44*Q44</x:f>
        <x:v>2505.0168000000003</x:v>
      </x:c>
      <x:c r="AB44" s="50" t="n">
        <x:f>L44*O44*Q44</x:f>
        <x:v>4624.6464000000005</x:v>
      </x:c>
      <x:c r="AC44" s="50" t="n">
        <x:f>M44*O44*Q44</x:f>
        <x:v>8285.8248</x:v>
      </x:c>
      <x:c r="AD44" s="50" t="n">
        <x:f>AB44*N44</x:f>
        <x:v>110991.5136</x:v>
      </x:c>
      <x:c r="AE44" s="50" t="n">
        <x:f>MAX(0,N44*(AB44*W44-S44*O44-T44))</x:f>
        <x:v>10388.8783104</x:v>
      </x:c>
      <x:c r="AF44" s="50" t="n">
        <x:f>MAX(0,N44*(AB44*X44-S44*O44-T44))</x:f>
        <x:v>48092.69548032001</x:v>
      </x:c>
      <x:c r="AG44" s="47" t="n">
        <x:f>(RANK.EQ(AD44,$AD$5:$AD$157,1)-1)/(COUNT($AD$5:$AD$157)-1)*100</x:f>
        <x:v>73.02631578947368</x:v>
      </x:c>
      <x:c r="AH44" s="47" t="n">
        <x:f>MAX(0,MIN(100,AG44*'Assumptions'!$B$5+V44*'Assumptions'!$B$6+Y44*'Assumptions'!$B$7+Z44*'Assumptions'!$B$8-(Q44-1)*'Assumptions'!$B$12))</x:f>
        <x:v>65.55657894736842</x:v>
      </x:c>
      <x:c r="AI44" s="51" t="str">
        <x:v>Medium</x:v>
      </x:c>
      <x:c r="AJ44" s="51" t="str">
        <x:v>Organizations need repeatable extraction and evidence workflows across inconsistent source formats.</x:v>
      </x:c>
      <x:c r="AK44" s="53" t="str">
        <x:f>IF(AND(AH44&gt;=75,V44&gt;=65,Z44&gt;=60),"Build now",IF(AND(AH44&gt;=60,V44&gt;=50),"Validate next",IF(AH44&gt;=50,"Partner or monitor","Deprioritize")))</x:f>
        <x:v>Validate next</x:v>
      </x:c>
      <x:c r="AL44" s="51" t="str">
        <x:v>Production automation is feasible for standard cases with exception routing. Accountable professional signoff remains necessary.</x:v>
      </x:c>
      <x:c r="AM44" s="51" t="str">
        <x:v>/Users/jaibhagat/code/prismml/agents-last-exam/tasks/engineering/humanoid_velocity_tracking_policy/task_card.json</x:v>
      </x:c>
    </x:row>
    <x:row r="45">
      <x:c r="A45" s="40" t="n">
        <x:f>COUNTIF($AH$5:$AH$157,"&gt;"&amp;AH45)+COUNTIF($AH$5:AH45,AH45)</x:f>
        <x:v>41</x:v>
      </x:c>
      <x:c r="B45" s="51" t="str">
        <x:v>education_info/marc_remediation_folio_overlay</x:v>
      </x:c>
      <x:c r="C45" s="51" t="str">
        <x:v>MARC Remediation FOLIO Overlay</x:v>
      </x:c>
      <x:c r="D45" s="51" t="str">
        <x:v>education_info</x:v>
      </x:c>
      <x:c r="E45" s="51" t="str">
        <x:v>Library &amp; Information Science</x:v>
      </x:c>
      <x:c r="F45" s="51" t="str">
        <x:v>Document intelligence and compliance</x:v>
      </x:c>
      <x:c r="G45" s="51" t="str">
        <x:v>Education or information specialist</x:v>
      </x:c>
      <x:c r="H45" s="51" t="str">
        <x:v>Professional and related</x:v>
      </x:c>
      <x:c r="I45" s="52" t="n">
        <x:v>1</x:v>
      </x:c>
      <x:c r="J45" s="51" t="str">
        <x:v>Verified analytical output</x:v>
      </x:c>
      <x:c r="K45" s="43" t="n">
        <x:v>13</x:v>
      </x:c>
      <x:c r="L45" s="43" t="n">
        <x:v>24</x:v>
      </x:c>
      <x:c r="M45" s="43" t="n">
        <x:v>43</x:v>
      </x:c>
      <x:c r="N45" s="43" t="n">
        <x:v>24</x:v>
      </x:c>
      <x:c r="O45" s="44" t="n">
        <x:f>INDEX('Assumptions'!$B$24:$B$29,MATCH(H45,'Assumptions'!$A$24:$A$29,0))*I45</x:f>
        <x:v>72.99</x:v>
      </x:c>
      <x:c r="P45" s="41" t="str">
        <x:v>Low</x:v>
      </x:c>
      <x:c r="Q45" s="45" t="n">
        <x:f>INDEX('Assumptions'!$B$18:$B$21,MATCH(P45,'Assumptions'!$A$18:$A$21,0))</x:f>
        <x:v>1</x:v>
      </x:c>
      <x:c r="R45" s="46" t="n">
        <x:v>0.1</x:v>
      </x:c>
      <x:c r="S45" s="47" t="n">
        <x:f>L45*R45</x:f>
        <x:v>2.4000000000000004</x:v>
      </x:c>
      <x:c r="T45" s="48" t="n">
        <x:v>5</x:v>
      </x:c>
      <x:c r="U45" s="41" t="n">
        <x:v>5</x:v>
      </x:c>
      <x:c r="V45" s="41" t="n">
        <x:v>89</x:v>
      </x:c>
      <x:c r="W45" s="49" t="n">
        <x:f>V45/100*'Assumptions'!$B$9</x:f>
        <x:v>0.3115</x:v>
      </x:c>
      <x:c r="X45" s="49" t="n">
        <x:f>MIN('Assumptions'!$B$11,V45/100*'Assumptions'!$B$10)</x:f>
        <x:v>0.6942</x:v>
      </x:c>
      <x:c r="Y45" s="41" t="n">
        <x:v>80</x:v>
      </x:c>
      <x:c r="Z45" s="41" t="n">
        <x:v>86</x:v>
      </x:c>
      <x:c r="AA45" s="50" t="n">
        <x:f>K45*O45*Q45</x:f>
        <x:v>948.8699999999999</x:v>
      </x:c>
      <x:c r="AB45" s="50" t="n">
        <x:f>L45*O45*Q45</x:f>
        <x:v>1751.7599999999998</x:v>
      </x:c>
      <x:c r="AC45" s="50" t="n">
        <x:f>M45*O45*Q45</x:f>
        <x:v>3138.5699999999997</x:v>
      </x:c>
      <x:c r="AD45" s="50" t="n">
        <x:f>AB45*N45</x:f>
        <x:v>42042.23999999999</x:v>
      </x:c>
      <x:c r="AE45" s="50" t="n">
        <x:f>MAX(0,N45*(AB45*W45-S45*O45-T45))</x:f>
        <x:v>8771.933759999998</x:v>
      </x:c>
      <x:c r="AF45" s="50" t="n">
        <x:f>MAX(0,N45*(AB45*X45-S45*O45-T45))</x:f>
        <x:v>24861.499008</x:v>
      </x:c>
      <x:c r="AG45" s="47" t="n">
        <x:f>(RANK.EQ(AD45,$AD$5:$AD$157,1)-1)/(COUNT($AD$5:$AD$157)-1)*100</x:f>
        <x:v>5.263157894736842</x:v>
      </x:c>
      <x:c r="AH45" s="47" t="n">
        <x:f>MAX(0,MIN(100,AG45*'Assumptions'!$B$5+V45*'Assumptions'!$B$6+Y45*'Assumptions'!$B$7+Z45*'Assumptions'!$B$8-(Q45-1)*'Assumptions'!$B$12))</x:f>
        <x:v>65.21578947368421</x:v>
      </x:c>
      <x:c r="AI45" s="51" t="str">
        <x:v>Medium</x:v>
      </x:c>
      <x:c r="AJ45" s="51" t="str">
        <x:v>Organizations need repeatable extraction and evidence workflows across inconsistent source formats.</x:v>
      </x:c>
      <x:c r="AK45" s="53" t="str">
        <x:f>IF(AND(AH45&gt;=75,V45&gt;=65,Z45&gt;=60),"Build now",IF(AND(AH45&gt;=60,V45&gt;=50),"Validate next",IF(AH45&gt;=50,"Partner or monitor","Deprioritize")))</x:f>
        <x:v>Validate next</x:v>
      </x:c>
      <x:c r="AL45" s="51" t="str">
        <x:v>Commodity automation exists for most of the work unit.</x:v>
      </x:c>
      <x:c r="AM45" s="51" t="str">
        <x:v>/Users/jaibhagat/code/prismml/agents-last-exam/tasks/education_info/marc_remediation_folio_overlay/task_card.json</x:v>
      </x:c>
    </x:row>
    <x:row r="46">
      <x:c r="A46" s="40" t="n">
        <x:f>COUNTIF($AH$5:$AH$157,"&gt;"&amp;AH46)+COUNTIF($AH$5:AH46,AH46)</x:f>
        <x:v>42</x:v>
      </x:c>
      <x:c r="B46" s="51" t="str">
        <x:v>health_medicine/nsclc_radiomics_cox_signature_v1</x:v>
      </x:c>
      <x:c r="C46" s="51" t="str">
        <x:v>NSCLC Radiomics Cox Signature</x:v>
      </x:c>
      <x:c r="D46" s="51" t="str">
        <x:v>health_medicine</x:v>
      </x:c>
      <x:c r="E46" s="51" t="str">
        <x:v>Clinical Diagnostics &amp; Imaging</x:v>
      </x:c>
      <x:c r="F46" s="51" t="str">
        <x:v>Document intelligence and compliance</x:v>
      </x:c>
      <x:c r="G46" s="51" t="str">
        <x:v>Clinical data scientist or medical specialist</x:v>
      </x:c>
      <x:c r="H46" s="51" t="str">
        <x:v>Professional and related</x:v>
      </x:c>
      <x:c r="I46" s="52" t="n">
        <x:v>1.3</x:v>
      </x:c>
      <x:c r="J46" s="51" t="str">
        <x:v>Structured data artifact</x:v>
      </x:c>
      <x:c r="K46" s="43" t="n">
        <x:v>13</x:v>
      </x:c>
      <x:c r="L46" s="43" t="n">
        <x:v>24</x:v>
      </x:c>
      <x:c r="M46" s="43" t="n">
        <x:v>43</x:v>
      </x:c>
      <x:c r="N46" s="43" t="n">
        <x:v>24</x:v>
      </x:c>
      <x:c r="O46" s="44" t="n">
        <x:f>INDEX('Assumptions'!$B$24:$B$29,MATCH(H46,'Assumptions'!$A$24:$A$29,0))*I46</x:f>
        <x:v>94.887</x:v>
      </x:c>
      <x:c r="P46" s="41" t="str">
        <x:v>Critical</x:v>
      </x:c>
      <x:c r="Q46" s="45" t="n">
        <x:f>INDEX('Assumptions'!$B$18:$B$21,MATCH(P46,'Assumptions'!$A$18:$A$21,0))</x:f>
        <x:v>2.2</x:v>
      </x:c>
      <x:c r="R46" s="46" t="n">
        <x:v>0.4</x:v>
      </x:c>
      <x:c r="S46" s="47" t="n">
        <x:f>L46*R46</x:f>
        <x:v>9.600000000000001</x:v>
      </x:c>
      <x:c r="T46" s="48" t="n">
        <x:v>5</x:v>
      </x:c>
      <x:c r="U46" s="41" t="n">
        <x:v>4</x:v>
      </x:c>
      <x:c r="V46" s="41" t="n">
        <x:v>72</x:v>
      </x:c>
      <x:c r="W46" s="49" t="n">
        <x:f>V46/100*'Assumptions'!$B$9</x:f>
        <x:v>0.252</x:v>
      </x:c>
      <x:c r="X46" s="49" t="n">
        <x:f>MIN('Assumptions'!$B$11,V46/100*'Assumptions'!$B$10)</x:f>
        <x:v>0.5616</x:v>
      </x:c>
      <x:c r="Y46" s="41" t="n">
        <x:v>88</x:v>
      </x:c>
      <x:c r="Z46" s="41" t="n">
        <x:v>61</x:v>
      </x:c>
      <x:c r="AA46" s="50" t="n">
        <x:f>K46*O46*Q46</x:f>
        <x:v>2713.7682</x:v>
      </x:c>
      <x:c r="AB46" s="50" t="n">
        <x:f>L46*O46*Q46</x:f>
        <x:v>5010.033600000001</x:v>
      </x:c>
      <x:c r="AC46" s="50" t="n">
        <x:f>M46*O46*Q46</x:f>
        <x:v>8976.310200000002</x:v>
      </x:c>
      <x:c r="AD46" s="50" t="n">
        <x:f>AB46*N46</x:f>
        <x:v>120240.80640000002</x:v>
      </x:c>
      <x:c r="AE46" s="50" t="n">
        <x:f>MAX(0,N46*(AB46*W46-S46*O46-T46))</x:f>
        <x:v>8318.718412800003</x:v>
      </x:c>
      <x:c r="AF46" s="50" t="n">
        <x:f>MAX(0,N46*(AB46*X46-S46*O46-T46))</x:f>
        <x:v>45545.27207424</x:v>
      </x:c>
      <x:c r="AG46" s="47" t="n">
        <x:f>(RANK.EQ(AD46,$AD$5:$AD$157,1)-1)/(COUNT($AD$5:$AD$157)-1)*100</x:f>
        <x:v>75</x:v>
      </x:c>
      <x:c r="AH46" s="47" t="n">
        <x:f>MAX(0,MIN(100,AG46*'Assumptions'!$B$5+V46*'Assumptions'!$B$6+Y46*'Assumptions'!$B$7+Z46*'Assumptions'!$B$8-(Q46-1)*'Assumptions'!$B$12))</x:f>
        <x:v>64.94999999999999</x:v>
      </x:c>
      <x:c r="AI46" s="51" t="str">
        <x:v>Medium</x:v>
      </x:c>
      <x:c r="AJ46" s="51" t="str">
        <x:v>Domain-specific document work needs reliable citations, schemas, and review routing rather than generic chat.</x:v>
      </x:c>
      <x:c r="AK46" s="53" t="str">
        <x:f>IF(AND(AH46&gt;=75,V46&gt;=65,Z46&gt;=60),"Build now",IF(AND(AH46&gt;=60,V46&gt;=50),"Validate next",IF(AH46&gt;=50,"Partner or monitor","Deprioritize")))</x:f>
        <x:v>Validate next</x:v>
      </x:c>
      <x:c r="AL46" s="51" t="str">
        <x:v>Production automation is feasible for standard cases with exception routing. Accountable professional signoff remains necessary.</x:v>
      </x:c>
      <x:c r="AM46" s="51" t="str">
        <x:v>/Users/jaibhagat/code/prismml/agents-last-exam/tasks/health_medicine/nsclc_radiomics_cox_signature_v1/task_card.json</x:v>
      </x:c>
    </x:row>
    <x:row r="47">
      <x:c r="A47" s="40" t="n">
        <x:f>COUNTIF($AH$5:$AH$157,"&gt;"&amp;AH47)+COUNTIF($AH$5:AH47,AH47)</x:f>
        <x:v>43</x:v>
      </x:c>
      <x:c r="B47" s="51" t="str">
        <x:v>computing_math/paper_reproduction_instance_1</x:v>
      </x:c>
      <x:c r="C47" s="51" t="str">
        <x:v>LCA-on-the-Line Table 2 Reproduction</x:v>
      </x:c>
      <x:c r="D47" s="51" t="str">
        <x:v>computing_math</x:v>
      </x:c>
      <x:c r="E47" s="51" t="str">
        <x:v>AI Engineering, Safety &amp; CS Research</x:v>
      </x:c>
      <x:c r="F47" s="51" t="str">
        <x:v>Document intelligence and compliance</x:v>
      </x:c>
      <x:c r="G47" s="51" t="str">
        <x:v>Software engineer or data scientist</x:v>
      </x:c>
      <x:c r="H47" s="51" t="str">
        <x:v>Professional and related</x:v>
      </x:c>
      <x:c r="I47" s="52" t="n">
        <x:v>1.15</x:v>
      </x:c>
      <x:c r="J47" s="51" t="str">
        <x:v>Structured data artifact</x:v>
      </x:c>
      <x:c r="K47" s="43" t="n">
        <x:v>13</x:v>
      </x:c>
      <x:c r="L47" s="43" t="n">
        <x:v>24</x:v>
      </x:c>
      <x:c r="M47" s="43" t="n">
        <x:v>43</x:v>
      </x:c>
      <x:c r="N47" s="43" t="n">
        <x:v>24</x:v>
      </x:c>
      <x:c r="O47" s="44" t="n">
        <x:f>INDEX('Assumptions'!$B$24:$B$29,MATCH(H47,'Assumptions'!$A$24:$A$29,0))*I47</x:f>
        <x:v>83.93849999999999</x:v>
      </x:c>
      <x:c r="P47" s="41" t="str">
        <x:v>Low</x:v>
      </x:c>
      <x:c r="Q47" s="45" t="n">
        <x:f>INDEX('Assumptions'!$B$18:$B$21,MATCH(P47,'Assumptions'!$A$18:$A$21,0))</x:f>
        <x:v>1</x:v>
      </x:c>
      <x:c r="R47" s="46" t="n">
        <x:v>0.1</x:v>
      </x:c>
      <x:c r="S47" s="47" t="n">
        <x:f>L47*R47</x:f>
        <x:v>2.4000000000000004</x:v>
      </x:c>
      <x:c r="T47" s="48" t="n">
        <x:v>5</x:v>
      </x:c>
      <x:c r="U47" s="41" t="n">
        <x:v>5</x:v>
      </x:c>
      <x:c r="V47" s="41" t="n">
        <x:v>82</x:v>
      </x:c>
      <x:c r="W47" s="49" t="n">
        <x:f>V47/100*'Assumptions'!$B$9</x:f>
        <x:v>0.287</x:v>
      </x:c>
      <x:c r="X47" s="49" t="n">
        <x:f>MIN('Assumptions'!$B$11,V47/100*'Assumptions'!$B$10)</x:f>
        <x:v>0.6396</x:v>
      </x:c>
      <x:c r="Y47" s="41" t="n">
        <x:v>80</x:v>
      </x:c>
      <x:c r="Z47" s="41" t="n">
        <x:v>81</x:v>
      </x:c>
      <x:c r="AA47" s="50" t="n">
        <x:f>K47*O47*Q47</x:f>
        <x:v>1091.2005</x:v>
      </x:c>
      <x:c r="AB47" s="50" t="n">
        <x:f>L47*O47*Q47</x:f>
        <x:v>2014.524</x:v>
      </x:c>
      <x:c r="AC47" s="50" t="n">
        <x:f>M47*O47*Q47</x:f>
        <x:v>3609.3554999999997</x:v>
      </x:c>
      <x:c r="AD47" s="50" t="n">
        <x:f>AB47*N47</x:f>
        <x:v>48348.576</x:v>
      </x:c>
      <x:c r="AE47" s="50" t="n">
        <x:f>MAX(0,N47*(AB47*W47-S47*O47-T47))</x:f>
        <x:v>8921.183711999998</x:v>
      </x:c>
      <x:c r="AF47" s="50" t="n">
        <x:f>MAX(0,N47*(AB47*X47-S47*O47-T47))</x:f>
        <x:v>25968.8916096</x:v>
      </x:c>
      <x:c r="AG47" s="47" t="n">
        <x:f>(RANK.EQ(AD47,$AD$5:$AD$157,1)-1)/(COUNT($AD$5:$AD$157)-1)*100</x:f>
        <x:v>16.447368421052634</x:v>
      </x:c>
      <x:c r="AH47" s="47" t="n">
        <x:f>MAX(0,MIN(100,AG47*'Assumptions'!$B$5+V47*'Assumptions'!$B$6+Y47*'Assumptions'!$B$7+Z47*'Assumptions'!$B$8-(Q47-1)*'Assumptions'!$B$12))</x:f>
        <x:v>64.91184210526316</x:v>
      </x:c>
      <x:c r="AI47" s="51" t="str">
        <x:v>Medium</x:v>
      </x:c>
      <x:c r="AJ47" s="51" t="str">
        <x:v>Organizations need repeatable extraction and evidence workflows across inconsistent source formats.</x:v>
      </x:c>
      <x:c r="AK47" s="53" t="str">
        <x:f>IF(AND(AH47&gt;=75,V47&gt;=65,Z47&gt;=60),"Build now",IF(AND(AH47&gt;=60,V47&gt;=50),"Validate next",IF(AH47&gt;=50,"Partner or monitor","Deprioritize")))</x:f>
        <x:v>Validate next</x:v>
      </x:c>
      <x:c r="AL47" s="51" t="str">
        <x:v>Commodity automation exists for most of the work unit.</x:v>
      </x:c>
      <x:c r="AM47" s="51" t="str">
        <x:v>/Users/jaibhagat/code/prismml/agents-last-exam/tasks/computing_math/paper_reproduction_instance_1/task_card.json</x:v>
      </x:c>
    </x:row>
    <x:row r="48">
      <x:c r="A48" s="40" t="n">
        <x:f>COUNTIF($AH$5:$AH$157,"&gt;"&amp;AH48)+COUNTIF($AH$5:AH48,AH48)</x:f>
        <x:v>44</x:v>
      </x:c>
      <x:c r="B48" s="51" t="str">
        <x:v>visual_media/compress_3dgs_scene_ply</x:v>
      </x:c>
      <x:c r="C48" s="51" t="str">
        <x:v>Compress A 3D Gaussian Splatting Scene</x:v>
      </x:c>
      <x:c r="D48" s="51" t="str">
        <x:v>visual_media</x:v>
      </x:c>
      <x:c r="E48" s="51" t="str">
        <x:v>3D, Animation &amp; Interactive Media</x:v>
      </x:c>
      <x:c r="F48" s="51" t="str">
        <x:v>Document intelligence and compliance</x:v>
      </x:c>
      <x:c r="G48" s="51" t="str">
        <x:v>Designer, animator, or media specialist</x:v>
      </x:c>
      <x:c r="H48" s="51" t="str">
        <x:v>Professional and related</x:v>
      </x:c>
      <x:c r="I48" s="52" t="n">
        <x:v>1</x:v>
      </x:c>
      <x:c r="J48" s="51" t="str">
        <x:v>Structured data artifact</x:v>
      </x:c>
      <x:c r="K48" s="43" t="n">
        <x:v>13</x:v>
      </x:c>
      <x:c r="L48" s="43" t="n">
        <x:v>24</x:v>
      </x:c>
      <x:c r="M48" s="43" t="n">
        <x:v>43</x:v>
      </x:c>
      <x:c r="N48" s="43" t="n">
        <x:v>24</x:v>
      </x:c>
      <x:c r="O48" s="44" t="n">
        <x:f>INDEX('Assumptions'!$B$24:$B$29,MATCH(H48,'Assumptions'!$A$24:$A$29,0))*I48</x:f>
        <x:v>72.99</x:v>
      </x:c>
      <x:c r="P48" s="41" t="str">
        <x:v>High</x:v>
      </x:c>
      <x:c r="Q48" s="45" t="n">
        <x:f>INDEX('Assumptions'!$B$18:$B$21,MATCH(P48,'Assumptions'!$A$18:$A$21,0))</x:f>
        <x:v>1.6</x:v>
      </x:c>
      <x:c r="R48" s="46" t="n">
        <x:v>0.28</x:v>
      </x:c>
      <x:c r="S48" s="47" t="n">
        <x:f>L48*R48</x:f>
        <x:v>6.720000000000001</x:v>
      </x:c>
      <x:c r="T48" s="48" t="n">
        <x:v>5</x:v>
      </x:c>
      <x:c r="U48" s="41" t="n">
        <x:v>5</x:v>
      </x:c>
      <x:c r="V48" s="41" t="n">
        <x:v>82</x:v>
      </x:c>
      <x:c r="W48" s="49" t="n">
        <x:f>V48/100*'Assumptions'!$B$9</x:f>
        <x:v>0.287</x:v>
      </x:c>
      <x:c r="X48" s="49" t="n">
        <x:f>MIN('Assumptions'!$B$11,V48/100*'Assumptions'!$B$10)</x:f>
        <x:v>0.6396</x:v>
      </x:c>
      <x:c r="Y48" s="41" t="n">
        <x:v>80</x:v>
      </x:c>
      <x:c r="Z48" s="41" t="n">
        <x:v>78</x:v>
      </x:c>
      <x:c r="AA48" s="50" t="n">
        <x:f>K48*O48*Q48</x:f>
        <x:v>1518.192</x:v>
      </x:c>
      <x:c r="AB48" s="50" t="n">
        <x:f>L48*O48*Q48</x:f>
        <x:v>2802.816</x:v>
      </x:c>
      <x:c r="AC48" s="50" t="n">
        <x:f>M48*O48*Q48</x:f>
        <x:v>5021.7119999999995</x:v>
      </x:c>
      <x:c r="AD48" s="50" t="n">
        <x:f>AB48*N48</x:f>
        <x:v>67267.584</x:v>
      </x:c>
      <x:c r="AE48" s="50" t="n">
        <x:f>MAX(0,N48*(AB48*W48-S48*O48-T48))</x:f>
        <x:v>7413.969407999997</x:v>
      </x:c>
      <x:c r="AF48" s="50" t="n">
        <x:f>MAX(0,N48*(AB48*X48-S48*O48-T48))</x:f>
        <x:v>31132.519526399992</x:v>
      </x:c>
      <x:c r="AG48" s="47" t="n">
        <x:f>(RANK.EQ(AD48,$AD$5:$AD$157,1)-1)/(COUNT($AD$5:$AD$157)-1)*100</x:f>
        <x:v>37.5</x:v>
      </x:c>
      <x:c r="AH48" s="47" t="n">
        <x:f>MAX(0,MIN(100,AG48*'Assumptions'!$B$5+V48*'Assumptions'!$B$6+Y48*'Assumptions'!$B$7+Z48*'Assumptions'!$B$8-(Q48-1)*'Assumptions'!$B$12))</x:f>
        <x:v>64.77499999999999</x:v>
      </x:c>
      <x:c r="AI48" s="51" t="str">
        <x:v>Medium</x:v>
      </x:c>
      <x:c r="AJ48" s="51" t="str">
        <x:v>Organizations need repeatable extraction and evidence workflows across inconsistent source formats.</x:v>
      </x:c>
      <x:c r="AK48" s="53" t="str">
        <x:f>IF(AND(AH48&gt;=75,V48&gt;=65,Z48&gt;=60),"Build now",IF(AND(AH48&gt;=60,V48&gt;=50),"Validate next",IF(AH48&gt;=50,"Partner or monitor","Deprioritize")))</x:f>
        <x:v>Validate next</x:v>
      </x:c>
      <x:c r="AL48" s="51" t="str">
        <x:v>Commodity automation exists for most of the work unit.</x:v>
      </x:c>
      <x:c r="AM48" s="51" t="str">
        <x:v>/Users/jaibhagat/code/prismml/agents-last-exam/tasks/visual_media/compress_3dgs_scene_ply/task_card.json</x:v>
      </x:c>
    </x:row>
    <x:row r="49">
      <x:c r="A49" s="40" t="n">
        <x:f>COUNTIF($AH$5:$AH$157,"&gt;"&amp;AH49)+COUNTIF($AH$5:AH49,AH49)</x:f>
        <x:v>46</x:v>
      </x:c>
      <x:c r="B49" s="51" t="str">
        <x:v>business_finance/bpmn_supply_disruption_l3</x:v>
      </x:c>
      <x:c r="C49" s="51" t="str">
        <x:v>Flowable BPMN Supply Disruption L3</x:v>
      </x:c>
      <x:c r="D49" s="51" t="str">
        <x:v>business_finance</x:v>
      </x:c>
      <x:c r="E49" s="51" t="str">
        <x:v>Enterprise Analytics &amp; Planning</x:v>
      </x:c>
      <x:c r="F49" s="51" t="str">
        <x:v>Structured analysis and decision support</x:v>
      </x:c>
      <x:c r="G49" s="51" t="str">
        <x:v>Compliance, tax, or financial reporting specialist</x:v>
      </x:c>
      <x:c r="H49" s="51" t="str">
        <x:v>Management, business, and financial</x:v>
      </x:c>
      <x:c r="I49" s="52" t="n">
        <x:v>1.15</x:v>
      </x:c>
      <x:c r="J49" s="51" t="str">
        <x:v>Structured data artifact</x:v>
      </x:c>
      <x:c r="K49" s="43" t="n">
        <x:v>18</x:v>
      </x:c>
      <x:c r="L49" s="43" t="n">
        <x:v>32</x:v>
      </x:c>
      <x:c r="M49" s="43" t="n">
        <x:v>58</x:v>
      </x:c>
      <x:c r="N49" s="43" t="n">
        <x:v>18</x:v>
      </x:c>
      <x:c r="O49" s="44" t="n">
        <x:f>INDEX('Assumptions'!$B$24:$B$29,MATCH(H49,'Assumptions'!$A$24:$A$29,0))*I49</x:f>
        <x:v>100.84349999999999</x:v>
      </x:c>
      <x:c r="P49" s="41" t="str">
        <x:v>Medium</x:v>
      </x:c>
      <x:c r="Q49" s="45" t="n">
        <x:f>INDEX('Assumptions'!$B$18:$B$21,MATCH(P49,'Assumptions'!$A$18:$A$21,0))</x:f>
        <x:v>1.25</x:v>
      </x:c>
      <x:c r="R49" s="46" t="n">
        <x:v>0.18</x:v>
      </x:c>
      <x:c r="S49" s="47" t="n">
        <x:f>L49*R49</x:f>
        <x:v>5.76</x:v>
      </x:c>
      <x:c r="T49" s="48" t="n">
        <x:v>15</x:v>
      </x:c>
      <x:c r="U49" s="41" t="n">
        <x:v>4</x:v>
      </x:c>
      <x:c r="V49" s="41" t="n">
        <x:v>74</x:v>
      </x:c>
      <x:c r="W49" s="49" t="n">
        <x:f>V49/100*'Assumptions'!$B$9</x:f>
        <x:v>0.259</x:v>
      </x:c>
      <x:c r="X49" s="49" t="n">
        <x:f>MIN('Assumptions'!$B$11,V49/100*'Assumptions'!$B$10)</x:f>
        <x:v>0.5772</x:v>
      </x:c>
      <x:c r="Y49" s="41" t="n">
        <x:v>74</x:v>
      </x:c>
      <x:c r="Z49" s="41" t="n">
        <x:v>79</x:v>
      </x:c>
      <x:c r="AA49" s="50" t="n">
        <x:f>K49*O49*Q49</x:f>
        <x:v>2268.9787499999998</x:v>
      </x:c>
      <x:c r="AB49" s="50" t="n">
        <x:f>L49*O49*Q49</x:f>
        <x:v>4033.74</x:v>
      </x:c>
      <x:c r="AC49" s="50" t="n">
        <x:f>M49*O49*Q49</x:f>
        <x:v>7311.1537499999995</x:v>
      </x:c>
      <x:c r="AD49" s="50" t="n">
        <x:f>AB49*N49</x:f>
        <x:v>72607.31999999999</x:v>
      </x:c>
      <x:c r="AE49" s="50" t="n">
        <x:f>MAX(0,N49*(AB49*W49-S49*O49-T49))</x:f>
        <x:v>8079.841800000002</x:v>
      </x:c>
      <x:c r="AF49" s="50" t="n">
        <x:f>MAX(0,N49*(AB49*X49-S49*O49-T49))</x:f>
        <x:v>31183.491024</x:v>
      </x:c>
      <x:c r="AG49" s="47" t="n">
        <x:f>(RANK.EQ(AD49,$AD$5:$AD$157,1)-1)/(COUNT($AD$5:$AD$157)-1)*100</x:f>
        <x:v>40.131578947368425</x:v>
      </x:c>
      <x:c r="AH49" s="47" t="n">
        <x:f>MAX(0,MIN(100,AG49*'Assumptions'!$B$5+V49*'Assumptions'!$B$6+Y49*'Assumptions'!$B$7+Z49*'Assumptions'!$B$8-(Q49-1)*'Assumptions'!$B$12))</x:f>
        <x:v>64.53289473684211</x:v>
      </x:c>
      <x:c r="AI49" s="51" t="str">
        <x:v>Medium</x:v>
      </x:c>
      <x:c r="AJ49" s="51" t="str">
        <x:v>Standard analyses are partly automated, but reliable evidence, exception handling, and deliverable compliance remain gaps.</x:v>
      </x:c>
      <x:c r="AK49" s="53" t="str">
        <x:f>IF(AND(AH49&gt;=75,V49&gt;=65,Z49&gt;=60),"Build now",IF(AND(AH49&gt;=60,V49&gt;=50),"Validate next",IF(AH49&gt;=50,"Partner or monitor","Deprioritize")))</x:f>
        <x:v>Validate next</x:v>
      </x:c>
      <x:c r="AL49" s="51" t="str">
        <x:v>Production automation is feasible for standard cases with exception routing.</x:v>
      </x:c>
      <x:c r="AM49" s="51" t="str">
        <x:v>/Users/jaibhagat/code/prismml/agents-last-exam/tasks/business_finance/bpmn_supply_disruption_l3/task_card.json</x:v>
      </x:c>
    </x:row>
    <x:row r="50">
      <x:c r="A50" s="40" t="n">
        <x:f>COUNTIF($AH$5:$AH$157,"&gt;"&amp;AH50)+COUNTIF($AH$5:AH50,AH50)</x:f>
        <x:v>45</x:v>
      </x:c>
      <x:c r="B50" s="51" t="str">
        <x:v>business_finance/sec_10k_financial_parsing</x:v>
      </x:c>
      <x:c r="C50" s="51" t="str">
        <x:v>SEC 10-K Financial Parsing</x:v>
      </x:c>
      <x:c r="D50" s="51" t="str">
        <x:v>business_finance</x:v>
      </x:c>
      <x:c r="E50" s="51" t="str">
        <x:v>Accounting &amp; Finance</x:v>
      </x:c>
      <x:c r="F50" s="51" t="str">
        <x:v>Document intelligence and compliance</x:v>
      </x:c>
      <x:c r="G50" s="51" t="str">
        <x:v>Compliance, tax, or financial reporting specialist</x:v>
      </x:c>
      <x:c r="H50" s="51" t="str">
        <x:v>Management, business, and financial</x:v>
      </x:c>
      <x:c r="I50" s="52" t="n">
        <x:v>1.15</x:v>
      </x:c>
      <x:c r="J50" s="51" t="str">
        <x:v>Structured data artifact</x:v>
      </x:c>
      <x:c r="K50" s="43" t="n">
        <x:v>66</x:v>
      </x:c>
      <x:c r="L50" s="43" t="n">
        <x:v>120</x:v>
      </x:c>
      <x:c r="M50" s="43" t="n">
        <x:v>216</x:v>
      </x:c>
      <x:c r="N50" s="43" t="n">
        <x:v>4</x:v>
      </x:c>
      <x:c r="O50" s="44" t="n">
        <x:f>INDEX('Assumptions'!$B$24:$B$29,MATCH(H50,'Assumptions'!$A$24:$A$29,0))*I50</x:f>
        <x:v>100.84349999999999</x:v>
      </x:c>
      <x:c r="P50" s="41" t="str">
        <x:v>Medium</x:v>
      </x:c>
      <x:c r="Q50" s="45" t="n">
        <x:f>INDEX('Assumptions'!$B$18:$B$21,MATCH(P50,'Assumptions'!$A$18:$A$21,0))</x:f>
        <x:v>1.25</x:v>
      </x:c>
      <x:c r="R50" s="46" t="n">
        <x:v>0.18</x:v>
      </x:c>
      <x:c r="S50" s="47" t="n">
        <x:f>L50*R50</x:f>
        <x:v>21.599999999999998</x:v>
      </x:c>
      <x:c r="T50" s="48" t="n">
        <x:v>5</x:v>
      </x:c>
      <x:c r="U50" s="41" t="n">
        <x:v>5</x:v>
      </x:c>
      <x:c r="V50" s="41" t="n">
        <x:v>73</x:v>
      </x:c>
      <x:c r="W50" s="49" t="n">
        <x:f>V50/100*'Assumptions'!$B$9</x:f>
        <x:v>0.2555</x:v>
      </x:c>
      <x:c r="X50" s="49" t="n">
        <x:f>MIN('Assumptions'!$B$11,V50/100*'Assumptions'!$B$10)</x:f>
        <x:v>0.5694</x:v>
      </x:c>
      <x:c r="Y50" s="41" t="n">
        <x:v>86</x:v>
      </x:c>
      <x:c r="Z50" s="41" t="n">
        <x:v>76</x:v>
      </x:c>
      <x:c r="AA50" s="50" t="n">
        <x:f>K50*O50*Q50</x:f>
        <x:v>8319.588749999999</x:v>
      </x:c>
      <x:c r="AB50" s="50" t="n">
        <x:f>L50*O50*Q50</x:f>
        <x:v>15126.525</x:v>
      </x:c>
      <x:c r="AC50" s="50" t="n">
        <x:f>M50*O50*Q50</x:f>
        <x:v>27227.745</x:v>
      </x:c>
      <x:c r="AD50" s="50" t="n">
        <x:f>AB50*N50</x:f>
        <x:v>60506.1</x:v>
      </x:c>
      <x:c r="AE50" s="50" t="n">
        <x:f>MAX(0,N50*(AB50*W50-S50*O50-T50))</x:f>
        <x:v>6726.430150000002</x:v>
      </x:c>
      <x:c r="AF50" s="50" t="n">
        <x:f>MAX(0,N50*(AB50*X50-S50*O50-T50))</x:f>
        <x:v>25719.294940000003</x:v>
      </x:c>
      <x:c r="AG50" s="47" t="n">
        <x:f>(RANK.EQ(AD50,$AD$5:$AD$157,1)-1)/(COUNT($AD$5:$AD$157)-1)*100</x:f>
        <x:v>32.23684210526316</x:v>
      </x:c>
      <x:c r="AH50" s="47" t="n">
        <x:f>MAX(0,MIN(100,AG50*'Assumptions'!$B$5+V50*'Assumptions'!$B$6+Y50*'Assumptions'!$B$7+Z50*'Assumptions'!$B$8-(Q50-1)*'Assumptions'!$B$12))</x:f>
        <x:v>64.65921052631579</x:v>
      </x:c>
      <x:c r="AI50" s="51" t="str">
        <x:v>Medium</x:v>
      </x:c>
      <x:c r="AJ50" s="51" t="str">
        <x:v>Domain-specific document work needs reliable citations, schemas, and review routing rather than generic chat.</x:v>
      </x:c>
      <x:c r="AK50" s="53" t="str">
        <x:f>IF(AND(AH50&gt;=75,V50&gt;=65,Z50&gt;=60),"Build now",IF(AND(AH50&gt;=60,V50&gt;=50),"Validate next",IF(AH50&gt;=50,"Partner or monitor","Deprioritize")))</x:f>
        <x:v>Validate next</x:v>
      </x:c>
      <x:c r="AL50" s="51" t="str">
        <x:v>Commodity automation exists for most of the work unit.</x:v>
      </x:c>
      <x:c r="AM50" s="51" t="str">
        <x:v>/Users/jaibhagat/code/prismml/agents-last-exam/tasks/business_finance/sec_10k_financial_parsing/task_card.json</x:v>
      </x:c>
    </x:row>
    <x:row r="51">
      <x:c r="A51" s="40" t="n">
        <x:f>COUNTIF($AH$5:$AH$157,"&gt;"&amp;AH51)+COUNTIF($AH$5:AH51,AH51)</x:f>
        <x:v>47</x:v>
      </x:c>
      <x:c r="B51" s="51" t="str">
        <x:v>business_finance/bpmn_category_governance_restructuring_l3</x:v>
      </x:c>
      <x:c r="C51" s="51" t="str">
        <x:v>Flowable BPMN Category Governance Restructuring L3</x:v>
      </x:c>
      <x:c r="D51" s="51" t="str">
        <x:v>business_finance</x:v>
      </x:c>
      <x:c r="E51" s="51" t="str">
        <x:v>Enterprise Analytics &amp; Planning</x:v>
      </x:c>
      <x:c r="F51" s="51" t="str">
        <x:v>Structured analysis and decision support</x:v>
      </x:c>
      <x:c r="G51" s="51" t="str">
        <x:v>Compliance, tax, or financial reporting specialist</x:v>
      </x:c>
      <x:c r="H51" s="51" t="str">
        <x:v>Management, business, and financial</x:v>
      </x:c>
      <x:c r="I51" s="52" t="n">
        <x:v>1.15</x:v>
      </x:c>
      <x:c r="J51" s="51" t="str">
        <x:v>Structured data artifact</x:v>
      </x:c>
      <x:c r="K51" s="43" t="n">
        <x:v>18</x:v>
      </x:c>
      <x:c r="L51" s="43" t="n">
        <x:v>32</x:v>
      </x:c>
      <x:c r="M51" s="43" t="n">
        <x:v>58</x:v>
      </x:c>
      <x:c r="N51" s="43" t="n">
        <x:v>18</x:v>
      </x:c>
      <x:c r="O51" s="44" t="n">
        <x:f>INDEX('Assumptions'!$B$24:$B$29,MATCH(H51,'Assumptions'!$A$24:$A$29,0))*I51</x:f>
        <x:v>100.84349999999999</x:v>
      </x:c>
      <x:c r="P51" s="41" t="str">
        <x:v>Medium</x:v>
      </x:c>
      <x:c r="Q51" s="45" t="n">
        <x:f>INDEX('Assumptions'!$B$18:$B$21,MATCH(P51,'Assumptions'!$A$18:$A$21,0))</x:f>
        <x:v>1.25</x:v>
      </x:c>
      <x:c r="R51" s="46" t="n">
        <x:v>0.18</x:v>
      </x:c>
      <x:c r="S51" s="47" t="n">
        <x:f>L51*R51</x:f>
        <x:v>5.76</x:v>
      </x:c>
      <x:c r="T51" s="48" t="n">
        <x:v>15</x:v>
      </x:c>
      <x:c r="U51" s="41" t="n">
        <x:v>4</x:v>
      </x:c>
      <x:c r="V51" s="41" t="n">
        <x:v>74</x:v>
      </x:c>
      <x:c r="W51" s="49" t="n">
        <x:f>V51/100*'Assumptions'!$B$9</x:f>
        <x:v>0.259</x:v>
      </x:c>
      <x:c r="X51" s="49" t="n">
        <x:f>MIN('Assumptions'!$B$11,V51/100*'Assumptions'!$B$10)</x:f>
        <x:v>0.5772</x:v>
      </x:c>
      <x:c r="Y51" s="41" t="n">
        <x:v>74</x:v>
      </x:c>
      <x:c r="Z51" s="41" t="n">
        <x:v>79</x:v>
      </x:c>
      <x:c r="AA51" s="50" t="n">
        <x:f>K51*O51*Q51</x:f>
        <x:v>2268.9787499999998</x:v>
      </x:c>
      <x:c r="AB51" s="50" t="n">
        <x:f>L51*O51*Q51</x:f>
        <x:v>4033.74</x:v>
      </x:c>
      <x:c r="AC51" s="50" t="n">
        <x:f>M51*O51*Q51</x:f>
        <x:v>7311.1537499999995</x:v>
      </x:c>
      <x:c r="AD51" s="50" t="n">
        <x:f>AB51*N51</x:f>
        <x:v>72607.31999999999</x:v>
      </x:c>
      <x:c r="AE51" s="50" t="n">
        <x:f>MAX(0,N51*(AB51*W51-S51*O51-T51))</x:f>
        <x:v>8079.841800000002</x:v>
      </x:c>
      <x:c r="AF51" s="50" t="n">
        <x:f>MAX(0,N51*(AB51*X51-S51*O51-T51))</x:f>
        <x:v>31183.491024</x:v>
      </x:c>
      <x:c r="AG51" s="47" t="n">
        <x:f>(RANK.EQ(AD51,$AD$5:$AD$157,1)-1)/(COUNT($AD$5:$AD$157)-1)*100</x:f>
        <x:v>40.131578947368425</x:v>
      </x:c>
      <x:c r="AH51" s="47" t="n">
        <x:f>MAX(0,MIN(100,AG51*'Assumptions'!$B$5+V51*'Assumptions'!$B$6+Y51*'Assumptions'!$B$7+Z51*'Assumptions'!$B$8-(Q51-1)*'Assumptions'!$B$12))</x:f>
        <x:v>64.53289473684211</x:v>
      </x:c>
      <x:c r="AI51" s="51" t="str">
        <x:v>Medium</x:v>
      </x:c>
      <x:c r="AJ51" s="51" t="str">
        <x:v>Standard analyses are partly automated, but reliable evidence, exception handling, and deliverable compliance remain gaps.</x:v>
      </x:c>
      <x:c r="AK51" s="53" t="str">
        <x:f>IF(AND(AH51&gt;=75,V51&gt;=65,Z51&gt;=60),"Build now",IF(AND(AH51&gt;=60,V51&gt;=50),"Validate next",IF(AH51&gt;=50,"Partner or monitor","Deprioritize")))</x:f>
        <x:v>Validate next</x:v>
      </x:c>
      <x:c r="AL51" s="51" t="str">
        <x:v>Production automation is feasible for standard cases with exception routing.</x:v>
      </x:c>
      <x:c r="AM51" s="51" t="str">
        <x:v>/Users/jaibhagat/code/prismml/agents-last-exam/tasks/business_finance/bpmn_category_governance_restructuring_l3/task_card.json</x:v>
      </x:c>
    </x:row>
    <x:row r="52">
      <x:c r="A52" s="40" t="n">
        <x:f>COUNTIF($AH$5:$AH$157,"&gt;"&amp;AH52)+COUNTIF($AH$5:AH52,AH52)</x:f>
        <x:v>48</x:v>
      </x:c>
      <x:c r="B52" s="51" t="str">
        <x:v>physical_sciences/egt710_table1_smiles_extraction</x:v>
      </x:c>
      <x:c r="C52" s="51" t="str">
        <x:v>Egt710 Table1 SMILES Extraction</x:v>
      </x:c>
      <x:c r="D52" s="51" t="str">
        <x:v>physical_sciences</x:v>
      </x:c>
      <x:c r="E52" s="51" t="str">
        <x:v>Chemistry &amp; Materials Computation</x:v>
      </x:c>
      <x:c r="F52" s="51" t="str">
        <x:v>Document intelligence and compliance</x:v>
      </x:c>
      <x:c r="G52" s="51" t="str">
        <x:v>Computational scientist</x:v>
      </x:c>
      <x:c r="H52" s="51" t="str">
        <x:v>Professional and related</x:v>
      </x:c>
      <x:c r="I52" s="52" t="n">
        <x:v>1.25</x:v>
      </x:c>
      <x:c r="J52" s="51" t="str">
        <x:v>Structured data artifact</x:v>
      </x:c>
      <x:c r="K52" s="43" t="n">
        <x:v>10</x:v>
      </x:c>
      <x:c r="L52" s="43" t="n">
        <x:v>18</x:v>
      </x:c>
      <x:c r="M52" s="43" t="n">
        <x:v>32</x:v>
      </x:c>
      <x:c r="N52" s="43" t="n">
        <x:v>24</x:v>
      </x:c>
      <x:c r="O52" s="44" t="n">
        <x:f>INDEX('Assumptions'!$B$24:$B$29,MATCH(H52,'Assumptions'!$A$24:$A$29,0))*I52</x:f>
        <x:v>91.2375</x:v>
      </x:c>
      <x:c r="P52" s="41" t="str">
        <x:v>Medium</x:v>
      </x:c>
      <x:c r="Q52" s="45" t="n">
        <x:f>INDEX('Assumptions'!$B$18:$B$21,MATCH(P52,'Assumptions'!$A$18:$A$21,0))</x:f>
        <x:v>1.25</x:v>
      </x:c>
      <x:c r="R52" s="46" t="n">
        <x:v>0.18</x:v>
      </x:c>
      <x:c r="S52" s="47" t="n">
        <x:f>L52*R52</x:f>
        <x:v>3.2399999999999998</x:v>
      </x:c>
      <x:c r="T52" s="48" t="n">
        <x:v>5</x:v>
      </x:c>
      <x:c r="U52" s="41" t="n">
        <x:v>5</x:v>
      </x:c>
      <x:c r="V52" s="41" t="n">
        <x:v>82</x:v>
      </x:c>
      <x:c r="W52" s="49" t="n">
        <x:f>V52/100*'Assumptions'!$B$9</x:f>
        <x:v>0.287</x:v>
      </x:c>
      <x:c r="X52" s="49" t="n">
        <x:f>MIN('Assumptions'!$B$11,V52/100*'Assumptions'!$B$10)</x:f>
        <x:v>0.6396</x:v>
      </x:c>
      <x:c r="Y52" s="41" t="n">
        <x:v>80</x:v>
      </x:c>
      <x:c r="Z52" s="41" t="n">
        <x:v>86</x:v>
      </x:c>
      <x:c r="AA52" s="50" t="n">
        <x:f>K52*O52*Q52</x:f>
        <x:v>1140.46875</x:v>
      </x:c>
      <x:c r="AB52" s="50" t="n">
        <x:f>L52*O52*Q52</x:f>
        <x:v>2052.84375</x:v>
      </x:c>
      <x:c r="AC52" s="50" t="n">
        <x:f>M52*O52*Q52</x:f>
        <x:v>3649.5</x:v>
      </x:c>
      <x:c r="AD52" s="50" t="n">
        <x:f>AB52*N52</x:f>
        <x:v>49268.25</x:v>
      </x:c>
      <x:c r="AE52" s="50" t="n">
        <x:f>MAX(0,N52*(AB52*W52-S52*O52-T52))</x:f>
        <x:v>6925.35975</x:v>
      </x:c>
      <x:c r="AF52" s="50" t="n">
        <x:f>MAX(0,N52*(AB52*X52-S52*O52-T52))</x:f>
        <x:v>24297.344699999994</x:v>
      </x:c>
      <x:c r="AG52" s="47" t="n">
        <x:f>(RANK.EQ(AD52,$AD$5:$AD$157,1)-1)/(COUNT($AD$5:$AD$157)-1)*100</x:f>
        <x:v>17.763157894736842</x:v>
      </x:c>
      <x:c r="AH52" s="47" t="n">
        <x:f>MAX(0,MIN(100,AG52*'Assumptions'!$B$5+V52*'Assumptions'!$B$6+Y52*'Assumptions'!$B$7+Z52*'Assumptions'!$B$8-(Q52-1)*'Assumptions'!$B$12))</x:f>
        <x:v>64.2407894736842</x:v>
      </x:c>
      <x:c r="AI52" s="51" t="str">
        <x:v>Medium</x:v>
      </x:c>
      <x:c r="AJ52" s="51" t="str">
        <x:v>Organizations need repeatable extraction and evidence workflows across inconsistent source formats.</x:v>
      </x:c>
      <x:c r="AK52" s="53" t="str">
        <x:f>IF(AND(AH52&gt;=75,V52&gt;=65,Z52&gt;=60),"Build now",IF(AND(AH52&gt;=60,V52&gt;=50),"Validate next",IF(AH52&gt;=50,"Partner or monitor","Deprioritize")))</x:f>
        <x:v>Validate next</x:v>
      </x:c>
      <x:c r="AL52" s="51" t="str">
        <x:v>Commodity automation exists for most of the work unit.</x:v>
      </x:c>
      <x:c r="AM52" s="51" t="str">
        <x:v>/Users/jaibhagat/code/prismml/agents-last-exam/tasks/physical_sciences/egt710_table1_smiles_extraction/task_card.json</x:v>
      </x:c>
    </x:row>
    <x:row r="53">
      <x:c r="A53" s="40" t="n">
        <x:f>COUNTIF($AH$5:$AH$157,"&gt;"&amp;AH53)+COUNTIF($AH$5:AH53,AH53)</x:f>
        <x:v>51</x:v>
      </x:c>
      <x:c r="B53" s="51" t="str">
        <x:v>physical_sciences/lenacapavir_sar_table2_extraction</x:v>
      </x:c>
      <x:c r="C53" s="51" t="str">
        <x:v>Lenacapavir SAR Table2 Extraction</x:v>
      </x:c>
      <x:c r="D53" s="51" t="str">
        <x:v>physical_sciences</x:v>
      </x:c>
      <x:c r="E53" s="51" t="str">
        <x:v>Biomolecular Structure &amp; Design</x:v>
      </x:c>
      <x:c r="F53" s="51" t="str">
        <x:v>Document intelligence and compliance</x:v>
      </x:c>
      <x:c r="G53" s="51" t="str">
        <x:v>Computational scientist</x:v>
      </x:c>
      <x:c r="H53" s="51" t="str">
        <x:v>Professional and related</x:v>
      </x:c>
      <x:c r="I53" s="52" t="n">
        <x:v>1.25</x:v>
      </x:c>
      <x:c r="J53" s="51" t="str">
        <x:v>Structured data artifact</x:v>
      </x:c>
      <x:c r="K53" s="43" t="n">
        <x:v>13</x:v>
      </x:c>
      <x:c r="L53" s="43" t="n">
        <x:v>24</x:v>
      </x:c>
      <x:c r="M53" s="43" t="n">
        <x:v>43</x:v>
      </x:c>
      <x:c r="N53" s="43" t="n">
        <x:v>24</x:v>
      </x:c>
      <x:c r="O53" s="44" t="n">
        <x:f>INDEX('Assumptions'!$B$24:$B$29,MATCH(H53,'Assumptions'!$A$24:$A$29,0))*I53</x:f>
        <x:v>91.2375</x:v>
      </x:c>
      <x:c r="P53" s="41" t="str">
        <x:v>Medium</x:v>
      </x:c>
      <x:c r="Q53" s="45" t="n">
        <x:f>INDEX('Assumptions'!$B$18:$B$21,MATCH(P53,'Assumptions'!$A$18:$A$21,0))</x:f>
        <x:v>1.25</x:v>
      </x:c>
      <x:c r="R53" s="46" t="n">
        <x:v>0.18</x:v>
      </x:c>
      <x:c r="S53" s="47" t="n">
        <x:f>L53*R53</x:f>
        <x:v>4.32</x:v>
      </x:c>
      <x:c r="T53" s="48" t="n">
        <x:v>5</x:v>
      </x:c>
      <x:c r="U53" s="41" t="n">
        <x:v>5</x:v>
      </x:c>
      <x:c r="V53" s="41" t="n">
        <x:v>66</x:v>
      </x:c>
      <x:c r="W53" s="49" t="n">
        <x:f>V53/100*'Assumptions'!$B$9</x:f>
        <x:v>0.23099999999999998</x:v>
      </x:c>
      <x:c r="X53" s="49" t="n">
        <x:f>MIN('Assumptions'!$B$11,V53/100*'Assumptions'!$B$10)</x:f>
        <x:v>0.5148</x:v>
      </x:c>
      <x:c r="Y53" s="41" t="n">
        <x:v>86</x:v>
      </x:c>
      <x:c r="Z53" s="41" t="n">
        <x:v>76</x:v>
      </x:c>
      <x:c r="AA53" s="50" t="n">
        <x:f>K53*O53*Q53</x:f>
        <x:v>1482.6093749999998</x:v>
      </x:c>
      <x:c r="AB53" s="50" t="n">
        <x:f>L53*O53*Q53</x:f>
        <x:v>2737.125</x:v>
      </x:c>
      <x:c r="AC53" s="50" t="n">
        <x:f>M53*O53*Q53</x:f>
        <x:v>4904.015625</x:v>
      </x:c>
      <x:c r="AD53" s="50" t="n">
        <x:f>AB53*N53</x:f>
        <x:v>65691</x:v>
      </x:c>
      <x:c r="AE53" s="50" t="n">
        <x:f>MAX(0,N53*(AB53*W53-S53*O53-T53))</x:f>
        <x:v>5595.116999999998</x:v>
      </x:c>
      <x:c r="AF53" s="50" t="n">
        <x:f>MAX(0,N53*(AB53*X53-S53*O53-T53))</x:f>
        <x:v>24238.222800000003</x:v>
      </x:c>
      <x:c r="AG53" s="47" t="n">
        <x:f>(RANK.EQ(AD53,$AD$5:$AD$157,1)-1)/(COUNT($AD$5:$AD$157)-1)*100</x:f>
        <x:v>34.868421052631575</x:v>
      </x:c>
      <x:c r="AH53" s="47" t="n">
        <x:f>MAX(0,MIN(100,AG53*'Assumptions'!$B$5+V53*'Assumptions'!$B$6+Y53*'Assumptions'!$B$7+Z53*'Assumptions'!$B$8-(Q53-1)*'Assumptions'!$B$12))</x:f>
        <x:v>63.21710526315789</x:v>
      </x:c>
      <x:c r="AI53" s="51" t="str">
        <x:v>Medium</x:v>
      </x:c>
      <x:c r="AJ53" s="51" t="str">
        <x:v>Organizations need repeatable extraction and evidence workflows across inconsistent source formats.</x:v>
      </x:c>
      <x:c r="AK53" s="53" t="str">
        <x:f>IF(AND(AH53&gt;=75,V53&gt;=65,Z53&gt;=60),"Build now",IF(AND(AH53&gt;=60,V53&gt;=50),"Validate next",IF(AH53&gt;=50,"Partner or monitor","Deprioritize")))</x:f>
        <x:v>Validate next</x:v>
      </x:c>
      <x:c r="AL53" s="51" t="str">
        <x:v>Commodity automation exists for most of the work unit.</x:v>
      </x:c>
      <x:c r="AM53" s="51" t="str">
        <x:v>/Users/jaibhagat/code/prismml/agents-last-exam/tasks/physical_sciences/lenacapavir_sar_table2_extraction/task_card.json</x:v>
      </x:c>
    </x:row>
    <x:row r="54">
      <x:c r="A54" s="40" t="n">
        <x:f>COUNTIF($AH$5:$AH$157,"&gt;"&amp;AH54)+COUNTIF($AH$5:AH54,AH54)</x:f>
        <x:v>49</x:v>
      </x:c>
      <x:c r="B54" s="51" t="str">
        <x:v>health_medicine/prostate_imrt_matrad_reproduction</x:v>
      </x:c>
      <x:c r="C54" s="51" t="str">
        <x:v>Prostate IMRT matRad Reproduction</x:v>
      </x:c>
      <x:c r="D54" s="51" t="str">
        <x:v>health_medicine</x:v>
      </x:c>
      <x:c r="E54" s="51" t="str">
        <x:v>Therapeutic &amp; Oncology Services</x:v>
      </x:c>
      <x:c r="F54" s="51" t="str">
        <x:v>Structured analysis and decision support</x:v>
      </x:c>
      <x:c r="G54" s="51" t="str">
        <x:v>Clinical data scientist or medical specialist</x:v>
      </x:c>
      <x:c r="H54" s="51" t="str">
        <x:v>Professional and related</x:v>
      </x:c>
      <x:c r="I54" s="52" t="n">
        <x:v>1.3</x:v>
      </x:c>
      <x:c r="J54" s="51" t="str">
        <x:v>Structured data artifact</x:v>
      </x:c>
      <x:c r="K54" s="43" t="n">
        <x:v>26</x:v>
      </x:c>
      <x:c r="L54" s="43" t="n">
        <x:v>48</x:v>
      </x:c>
      <x:c r="M54" s="43" t="n">
        <x:v>86</x:v>
      </x:c>
      <x:c r="N54" s="43" t="n">
        <x:v>18</x:v>
      </x:c>
      <x:c r="O54" s="44" t="n">
        <x:f>INDEX('Assumptions'!$B$24:$B$29,MATCH(H54,'Assumptions'!$A$24:$A$29,0))*I54</x:f>
        <x:v>94.887</x:v>
      </x:c>
      <x:c r="P54" s="41" t="str">
        <x:v>Critical</x:v>
      </x:c>
      <x:c r="Q54" s="45" t="n">
        <x:f>INDEX('Assumptions'!$B$18:$B$21,MATCH(P54,'Assumptions'!$A$18:$A$21,0))</x:f>
        <x:v>2.2</x:v>
      </x:c>
      <x:c r="R54" s="46" t="n">
        <x:v>0.4</x:v>
      </x:c>
      <x:c r="S54" s="47" t="n">
        <x:f>L54*R54</x:f>
        <x:v>19.200000000000003</x:v>
      </x:c>
      <x:c r="T54" s="48" t="n">
        <x:v>15</x:v>
      </x:c>
      <x:c r="U54" s="41" t="n">
        <x:v>3</x:v>
      </x:c>
      <x:c r="V54" s="41" t="n">
        <x:v>71</x:v>
      </x:c>
      <x:c r="W54" s="49" t="n">
        <x:f>V54/100*'Assumptions'!$B$9</x:f>
        <x:v>0.24849999999999997</x:v>
      </x:c>
      <x:c r="X54" s="49" t="n">
        <x:f>MIN('Assumptions'!$B$11,V54/100*'Assumptions'!$B$10)</x:f>
        <x:v>0.5538</x:v>
      </x:c>
      <x:c r="Y54" s="41" t="n">
        <x:v>74</x:v>
      </x:c>
      <x:c r="Z54" s="41" t="n">
        <x:v>59</x:v>
      </x:c>
      <x:c r="AA54" s="50" t="n">
        <x:f>K54*O54*Q54</x:f>
        <x:v>5427.5364</x:v>
      </x:c>
      <x:c r="AB54" s="50" t="n">
        <x:f>L54*O54*Q54</x:f>
        <x:v>10020.067200000001</x:v>
      </x:c>
      <x:c r="AC54" s="50" t="n">
        <x:f>M54*O54*Q54</x:f>
        <x:v>17952.620400000003</x:v>
      </x:c>
      <x:c r="AD54" s="50" t="n">
        <x:f>AB54*N54</x:f>
        <x:v>180361.20960000003</x:v>
      </x:c>
      <x:c r="AE54" s="50" t="n">
        <x:f>MAX(0,N54*(AB54*W54-S54*O54-T54))</x:f>
        <x:v>11756.813385599999</x:v>
      </x:c>
      <x:c r="AF54" s="50" t="n">
        <x:f>MAX(0,N54*(AB54*X54-S54*O54-T54))</x:f>
        <x:v>66821.09067648</x:v>
      </x:c>
      <x:c r="AG54" s="47" t="n">
        <x:f>(RANK.EQ(AD54,$AD$5:$AD$157,1)-1)/(COUNT($AD$5:$AD$157)-1)*100</x:f>
        <x:v>85.52631578947368</x:v>
      </x:c>
      <x:c r="AH54" s="47" t="n">
        <x:f>MAX(0,MIN(100,AG54*'Assumptions'!$B$5+V54*'Assumptions'!$B$6+Y54*'Assumptions'!$B$7+Z54*'Assumptions'!$B$8-(Q54-1)*'Assumptions'!$B$12))</x:f>
        <x:v>63.38157894736842</x:v>
      </x:c>
      <x:c r="AI54" s="51" t="str">
        <x:v>Medium</x:v>
      </x:c>
      <x:c r="AJ54" s="51" t="str">
        <x:v>Standard analyses are partly automated, but reliable evidence, exception handling, and deliverable compliance remain gaps.</x:v>
      </x:c>
      <x:c r="AK54" s="53" t="str">
        <x:f>IF(AND(AH54&gt;=75,V54&gt;=65,Z54&gt;=60),"Build now",IF(AND(AH54&gt;=60,V54&gt;=50),"Validate next",IF(AH54&gt;=50,"Partner or monitor","Deprioritize")))</x:f>
        <x:v>Validate next</x:v>
      </x:c>
      <x:c r="AL54" s="51" t="str">
        <x:v>Bounded agents can complete standard cases with mandatory review. Accountable professional signoff remains necessary.</x:v>
      </x:c>
      <x:c r="AM54" s="51" t="str">
        <x:v>/Users/jaibhagat/code/prismml/agents-last-exam/tasks/health_medicine/prostate_imrt_matrad_reproduction/task_card.json</x:v>
      </x:c>
    </x:row>
    <x:row r="55">
      <x:c r="A55" s="40" t="n">
        <x:f>COUNTIF($AH$5:$AH$157,"&gt;"&amp;AH55)+COUNTIF($AH$5:AH55,AH55)</x:f>
        <x:v>50</x:v>
      </x:c>
      <x:c r="B55" s="51" t="str">
        <x:v>life_sciences/cell_translocation_analysis</x:v>
      </x:c>
      <x:c r="C55" s="51" t="str">
        <x:v>Cell Translocation Analysis</x:v>
      </x:c>
      <x:c r="D55" s="51" t="str">
        <x:v>life_sciences</x:v>
      </x:c>
      <x:c r="E55" s="51" t="str">
        <x:v>Cell &amp; Imaging Biology</x:v>
      </x:c>
      <x:c r="F55" s="51" t="str">
        <x:v>Image, signal, or geospatial analysis</x:v>
      </x:c>
      <x:c r="G55" s="51" t="str">
        <x:v>Bioinformatics or life-science researcher</x:v>
      </x:c>
      <x:c r="H55" s="51" t="str">
        <x:v>Professional and related</x:v>
      </x:c>
      <x:c r="I55" s="52" t="n">
        <x:v>1.25</x:v>
      </x:c>
      <x:c r="J55" s="51" t="str">
        <x:v>Structured data artifact</x:v>
      </x:c>
      <x:c r="K55" s="43" t="n">
        <x:v>22</x:v>
      </x:c>
      <x:c r="L55" s="43" t="n">
        <x:v>40</x:v>
      </x:c>
      <x:c r="M55" s="43" t="n">
        <x:v>72</x:v>
      </x:c>
      <x:c r="N55" s="43" t="n">
        <x:v>52</x:v>
      </x:c>
      <x:c r="O55" s="44" t="n">
        <x:f>INDEX('Assumptions'!$B$24:$B$29,MATCH(H55,'Assumptions'!$A$24:$A$29,0))*I55</x:f>
        <x:v>91.2375</x:v>
      </x:c>
      <x:c r="P55" s="41" t="str">
        <x:v>Medium</x:v>
      </x:c>
      <x:c r="Q55" s="45" t="n">
        <x:f>INDEX('Assumptions'!$B$18:$B$21,MATCH(P55,'Assumptions'!$A$18:$A$21,0))</x:f>
        <x:v>1.25</x:v>
      </x:c>
      <x:c r="R55" s="46" t="n">
        <x:v>0.18</x:v>
      </x:c>
      <x:c r="S55" s="47" t="n">
        <x:f>L55*R55</x:f>
        <x:v>7.199999999999999</x:v>
      </x:c>
      <x:c r="T55" s="48" t="n">
        <x:v>35</x:v>
      </x:c>
      <x:c r="U55" s="41" t="n">
        <x:v>4</x:v>
      </x:c>
      <x:c r="V55" s="41" t="n">
        <x:v>44</x:v>
      </x:c>
      <x:c r="W55" s="49" t="n">
        <x:f>V55/100*'Assumptions'!$B$9</x:f>
        <x:v>0.154</x:v>
      </x:c>
      <x:c r="X55" s="49" t="n">
        <x:f>MIN('Assumptions'!$B$11,V55/100*'Assumptions'!$B$10)</x:f>
        <x:v>0.3432</x:v>
      </x:c>
      <x:c r="Y55" s="41" t="n">
        <x:v>72</x:v>
      </x:c>
      <x:c r="Z55" s="41" t="n">
        <x:v>57</x:v>
      </x:c>
      <x:c r="AA55" s="50" t="n">
        <x:f>K55*O55*Q55</x:f>
        <x:v>2509.03125</x:v>
      </x:c>
      <x:c r="AB55" s="50" t="n">
        <x:f>L55*O55*Q55</x:f>
        <x:v>4561.875</x:v>
      </x:c>
      <x:c r="AC55" s="50" t="n">
        <x:f>M55*O55*Q55</x:f>
        <x:v>8211.375</x:v>
      </x:c>
      <x:c r="AD55" s="50" t="n">
        <x:f>AB55*N55</x:f>
        <x:v>237217.5</x:v>
      </x:c>
      <x:c r="AE55" s="50" t="n">
        <x:f>MAX(0,N55*(AB55*W55-S55*O55-T55))</x:f>
        <x:v>552.1749999999988</x:v>
      </x:c>
      <x:c r="AF55" s="50" t="n">
        <x:f>MAX(0,N55*(AB55*X55-S55*O55-T55))</x:f>
        <x:v>45433.72600000001</x:v>
      </x:c>
      <x:c r="AG55" s="47" t="n">
        <x:f>(RANK.EQ(AD55,$AD$5:$AD$157,1)-1)/(COUNT($AD$5:$AD$157)-1)*100</x:f>
        <x:v>90.78947368421053</x:v>
      </x:c>
      <x:c r="AH55" s="47" t="n">
        <x:f>MAX(0,MIN(100,AG55*'Assumptions'!$B$5+V55*'Assumptions'!$B$6+Y55*'Assumptions'!$B$7+Z55*'Assumptions'!$B$8-(Q55-1)*'Assumptions'!$B$12))</x:f>
        <x:v>63.29736842105264</x:v>
      </x:c>
      <x:c r="AI55" s="51" t="str">
        <x:v>Low</x:v>
      </x:c>
      <x:c r="AJ55" s="51" t="str">
        <x:v>Niche image and signal workflows remain fragmented across specialist tools and manual QA.</x:v>
      </x:c>
      <x:c r="AK55" s="53" t="str">
        <x:f>IF(AND(AH55&gt;=75,V55&gt;=65,Z55&gt;=60),"Build now",IF(AND(AH55&gt;=60,V55&gt;=50),"Validate next",IF(AH55&gt;=50,"Partner or monitor","Deprioritize")))</x:f>
        <x:v>Partner or monitor</x:v>
      </x:c>
      <x:c r="AL55" s="51" t="str">
        <x:v>Production automation is feasible for standard cases with exception routing.</x:v>
      </x:c>
      <x:c r="AM55" s="51" t="str">
        <x:v>/Users/jaibhagat/code/prismml/agents-last-exam/tasks/life_sciences/cell_translocation_analysis/task_card.json</x:v>
      </x:c>
    </x:row>
    <x:row r="56">
      <x:c r="A56" s="40" t="n">
        <x:f>COUNTIF($AH$5:$AH$157,"&gt;"&amp;AH56)+COUNTIF($AH$5:AH56,AH56)</x:f>
        <x:v>52</x:v>
      </x:c>
      <x:c r="B56" s="51" t="str">
        <x:v>business_finance/ff5_public_reconstruction</x:v>
      </x:c>
      <x:c r="C56" s="51" t="str">
        <x:v>FF5 Public Reconstruction</x:v>
      </x:c>
      <x:c r="D56" s="51" t="str">
        <x:v>business_finance</x:v>
      </x:c>
      <x:c r="E56" s="51" t="str">
        <x:v>Enterprise Analytics &amp; Planning</x:v>
      </x:c>
      <x:c r="F56" s="51" t="str">
        <x:v>Structured analysis and decision support</x:v>
      </x:c>
      <x:c r="G56" s="51" t="str">
        <x:v>Financial or operations analyst</x:v>
      </x:c>
      <x:c r="H56" s="51" t="str">
        <x:v>Management, business, and financial</x:v>
      </x:c>
      <x:c r="I56" s="52" t="n">
        <x:v>1.15</x:v>
      </x:c>
      <x:c r="J56" s="51" t="str">
        <x:v>Structured data artifact</x:v>
      </x:c>
      <x:c r="K56" s="43" t="n">
        <x:v>18</x:v>
      </x:c>
      <x:c r="L56" s="43" t="n">
        <x:v>32</x:v>
      </x:c>
      <x:c r="M56" s="43" t="n">
        <x:v>58</x:v>
      </x:c>
      <x:c r="N56" s="43" t="n">
        <x:v>18</x:v>
      </x:c>
      <x:c r="O56" s="44" t="n">
        <x:f>INDEX('Assumptions'!$B$24:$B$29,MATCH(H56,'Assumptions'!$A$24:$A$29,0))*I56</x:f>
        <x:v>100.84349999999999</x:v>
      </x:c>
      <x:c r="P56" s="41" t="str">
        <x:v>Medium</x:v>
      </x:c>
      <x:c r="Q56" s="45" t="n">
        <x:f>INDEX('Assumptions'!$B$18:$B$21,MATCH(P56,'Assumptions'!$A$18:$A$21,0))</x:f>
        <x:v>1.25</x:v>
      </x:c>
      <x:c r="R56" s="46" t="n">
        <x:v>0.18</x:v>
      </x:c>
      <x:c r="S56" s="47" t="n">
        <x:f>L56*R56</x:f>
        <x:v>5.76</x:v>
      </x:c>
      <x:c r="T56" s="48" t="n">
        <x:v>15</x:v>
      </x:c>
      <x:c r="U56" s="41" t="n">
        <x:v>4</x:v>
      </x:c>
      <x:c r="V56" s="41" t="n">
        <x:v>74</x:v>
      </x:c>
      <x:c r="W56" s="49" t="n">
        <x:f>V56/100*'Assumptions'!$B$9</x:f>
        <x:v>0.259</x:v>
      </x:c>
      <x:c r="X56" s="49" t="n">
        <x:f>MIN('Assumptions'!$B$11,V56/100*'Assumptions'!$B$10)</x:f>
        <x:v>0.5772</x:v>
      </x:c>
      <x:c r="Y56" s="41" t="n">
        <x:v>66</x:v>
      </x:c>
      <x:c r="Z56" s="41" t="n">
        <x:v>79</x:v>
      </x:c>
      <x:c r="AA56" s="50" t="n">
        <x:f>K56*O56*Q56</x:f>
        <x:v>2268.9787499999998</x:v>
      </x:c>
      <x:c r="AB56" s="50" t="n">
        <x:f>L56*O56*Q56</x:f>
        <x:v>4033.74</x:v>
      </x:c>
      <x:c r="AC56" s="50" t="n">
        <x:f>M56*O56*Q56</x:f>
        <x:v>7311.1537499999995</x:v>
      </x:c>
      <x:c r="AD56" s="50" t="n">
        <x:f>AB56*N56</x:f>
        <x:v>72607.31999999999</x:v>
      </x:c>
      <x:c r="AE56" s="50" t="n">
        <x:f>MAX(0,N56*(AB56*W56-S56*O56-T56))</x:f>
        <x:v>8079.841800000002</x:v>
      </x:c>
      <x:c r="AF56" s="50" t="n">
        <x:f>MAX(0,N56*(AB56*X56-S56*O56-T56))</x:f>
        <x:v>31183.491024</x:v>
      </x:c>
      <x:c r="AG56" s="47" t="n">
        <x:f>(RANK.EQ(AD56,$AD$5:$AD$157,1)-1)/(COUNT($AD$5:$AD$157)-1)*100</x:f>
        <x:v>40.131578947368425</x:v>
      </x:c>
      <x:c r="AH56" s="47" t="n">
        <x:f>MAX(0,MIN(100,AG56*'Assumptions'!$B$5+V56*'Assumptions'!$B$6+Y56*'Assumptions'!$B$7+Z56*'Assumptions'!$B$8-(Q56-1)*'Assumptions'!$B$12))</x:f>
        <x:v>62.53289473684211</x:v>
      </x:c>
      <x:c r="AI56" s="51" t="str">
        <x:v>Medium</x:v>
      </x:c>
      <x:c r="AJ56" s="51" t="str">
        <x:v>Standard analyses are partly automated, but reliable evidence, exception handling, and deliverable compliance remain gaps.</x:v>
      </x:c>
      <x:c r="AK56" s="53" t="str">
        <x:f>IF(AND(AH56&gt;=75,V56&gt;=65,Z56&gt;=60),"Build now",IF(AND(AH56&gt;=60,V56&gt;=50),"Validate next",IF(AH56&gt;=50,"Partner or monitor","Deprioritize")))</x:f>
        <x:v>Validate next</x:v>
      </x:c>
      <x:c r="AL56" s="51" t="str">
        <x:v>Production automation is feasible for standard cases with exception routing.</x:v>
      </x:c>
      <x:c r="AM56" s="51" t="str">
        <x:v>/Users/jaibhagat/code/prismml/agents-last-exam/tasks/business_finance/ff5_public_reconstruction/task_card.json</x:v>
      </x:c>
    </x:row>
    <x:row r="57">
      <x:c r="A57" s="40" t="n">
        <x:f>COUNTIF($AH$5:$AH$157,"&gt;"&amp;AH57)+COUNTIF($AH$5:AH57,AH57)</x:f>
        <x:v>57</x:v>
      </x:c>
      <x:c r="B57" s="51" t="str">
        <x:v>business_finance/digital_marketing_audience_segmentation_1</x:v>
      </x:c>
      <x:c r="C57" s="51" t="str">
        <x:v>Digital Marketing Audience Segmentation</x:v>
      </x:c>
      <x:c r="D57" s="51" t="str">
        <x:v>business_finance</x:v>
      </x:c>
      <x:c r="E57" s="51" t="str">
        <x:v>Sales &amp; Marketing</x:v>
      </x:c>
      <x:c r="F57" s="51" t="str">
        <x:v>Structured analysis and decision support</x:v>
      </x:c>
      <x:c r="G57" s="51" t="str">
        <x:v>Compliance, tax, or financial reporting specialist</x:v>
      </x:c>
      <x:c r="H57" s="51" t="str">
        <x:v>Management, business, and financial</x:v>
      </x:c>
      <x:c r="I57" s="52" t="n">
        <x:v>1.15</x:v>
      </x:c>
      <x:c r="J57" s="51" t="str">
        <x:v>Structured data artifact</x:v>
      </x:c>
      <x:c r="K57" s="43" t="n">
        <x:v>18</x:v>
      </x:c>
      <x:c r="L57" s="43" t="n">
        <x:v>32</x:v>
      </x:c>
      <x:c r="M57" s="43" t="n">
        <x:v>58</x:v>
      </x:c>
      <x:c r="N57" s="43" t="n">
        <x:v>18</x:v>
      </x:c>
      <x:c r="O57" s="44" t="n">
        <x:f>INDEX('Assumptions'!$B$24:$B$29,MATCH(H57,'Assumptions'!$A$24:$A$29,0))*I57</x:f>
        <x:v>100.84349999999999</x:v>
      </x:c>
      <x:c r="P57" s="41" t="str">
        <x:v>Medium</x:v>
      </x:c>
      <x:c r="Q57" s="45" t="n">
        <x:f>INDEX('Assumptions'!$B$18:$B$21,MATCH(P57,'Assumptions'!$A$18:$A$21,0))</x:f>
        <x:v>1.25</x:v>
      </x:c>
      <x:c r="R57" s="46" t="n">
        <x:v>0.18</x:v>
      </x:c>
      <x:c r="S57" s="47" t="n">
        <x:f>L57*R57</x:f>
        <x:v>5.76</x:v>
      </x:c>
      <x:c r="T57" s="48" t="n">
        <x:v>15</x:v>
      </x:c>
      <x:c r="U57" s="41" t="n">
        <x:v>4</x:v>
      </x:c>
      <x:c r="V57" s="41" t="n">
        <x:v>74</x:v>
      </x:c>
      <x:c r="W57" s="49" t="n">
        <x:f>V57/100*'Assumptions'!$B$9</x:f>
        <x:v>0.259</x:v>
      </x:c>
      <x:c r="X57" s="49" t="n">
        <x:f>MIN('Assumptions'!$B$11,V57/100*'Assumptions'!$B$10)</x:f>
        <x:v>0.5772</x:v>
      </x:c>
      <x:c r="Y57" s="41" t="n">
        <x:v>66</x:v>
      </x:c>
      <x:c r="Z57" s="41" t="n">
        <x:v>74</x:v>
      </x:c>
      <x:c r="AA57" s="50" t="n">
        <x:f>K57*O57*Q57</x:f>
        <x:v>2268.9787499999998</x:v>
      </x:c>
      <x:c r="AB57" s="50" t="n">
        <x:f>L57*O57*Q57</x:f>
        <x:v>4033.74</x:v>
      </x:c>
      <x:c r="AC57" s="50" t="n">
        <x:f>M57*O57*Q57</x:f>
        <x:v>7311.1537499999995</x:v>
      </x:c>
      <x:c r="AD57" s="50" t="n">
        <x:f>AB57*N57</x:f>
        <x:v>72607.31999999999</x:v>
      </x:c>
      <x:c r="AE57" s="50" t="n">
        <x:f>MAX(0,N57*(AB57*W57-S57*O57-T57))</x:f>
        <x:v>8079.841800000002</x:v>
      </x:c>
      <x:c r="AF57" s="50" t="n">
        <x:f>MAX(0,N57*(AB57*X57-S57*O57-T57))</x:f>
        <x:v>31183.491024</x:v>
      </x:c>
      <x:c r="AG57" s="47" t="n">
        <x:f>(RANK.EQ(AD57,$AD$5:$AD$157,1)-1)/(COUNT($AD$5:$AD$157)-1)*100</x:f>
        <x:v>40.131578947368425</x:v>
      </x:c>
      <x:c r="AH57" s="47" t="n">
        <x:f>MAX(0,MIN(100,AG57*'Assumptions'!$B$5+V57*'Assumptions'!$B$6+Y57*'Assumptions'!$B$7+Z57*'Assumptions'!$B$8-(Q57-1)*'Assumptions'!$B$12))</x:f>
        <x:v>61.53289473684211</x:v>
      </x:c>
      <x:c r="AI57" s="51" t="str">
        <x:v>Medium</x:v>
      </x:c>
      <x:c r="AJ57" s="51" t="str">
        <x:v>Standard analyses are partly automated, but reliable evidence, exception handling, and deliverable compliance remain gaps.</x:v>
      </x:c>
      <x:c r="AK57" s="53" t="str">
        <x:f>IF(AND(AH57&gt;=75,V57&gt;=65,Z57&gt;=60),"Build now",IF(AND(AH57&gt;=60,V57&gt;=50),"Validate next",IF(AH57&gt;=50,"Partner or monitor","Deprioritize")))</x:f>
        <x:v>Validate next</x:v>
      </x:c>
      <x:c r="AL57" s="51" t="str">
        <x:v>Production automation is feasible for standard cases with exception routing.</x:v>
      </x:c>
      <x:c r="AM57" s="51" t="str">
        <x:v>/Users/jaibhagat/code/prismml/agents-last-exam/tasks/business_finance/digital_marketing_audience_segmentation_1/task_card.json</x:v>
      </x:c>
    </x:row>
    <x:row r="58">
      <x:c r="A58" s="40" t="n">
        <x:f>COUNTIF($AH$5:$AH$157,"&gt;"&amp;AH58)+COUNTIF($AH$5:AH58,AH58)</x:f>
        <x:v>53</x:v>
      </x:c>
      <x:c r="B58" s="51" t="str">
        <x:v>business_finance/ar_full_300</x:v>
      </x:c>
      <x:c r="C58" s="51" t="str">
        <x:v>Annual Report Full Extraction (300 files)</x:v>
      </x:c>
      <x:c r="D58" s="51" t="str">
        <x:v>business_finance</x:v>
      </x:c>
      <x:c r="E58" s="51" t="str">
        <x:v>Accounting &amp; Finance</x:v>
      </x:c>
      <x:c r="F58" s="51" t="str">
        <x:v>Document intelligence and compliance</x:v>
      </x:c>
      <x:c r="G58" s="51" t="str">
        <x:v>Financial or operations analyst</x:v>
      </x:c>
      <x:c r="H58" s="51" t="str">
        <x:v>Management, business, and financial</x:v>
      </x:c>
      <x:c r="I58" s="52" t="n">
        <x:v>1.15</x:v>
      </x:c>
      <x:c r="J58" s="51" t="str">
        <x:v>Report or analytical workbook</x:v>
      </x:c>
      <x:c r="K58" s="43" t="n">
        <x:v>99</x:v>
      </x:c>
      <x:c r="L58" s="43" t="n">
        <x:v>180</x:v>
      </x:c>
      <x:c r="M58" s="43" t="n">
        <x:v>324</x:v>
      </x:c>
      <x:c r="N58" s="43" t="n">
        <x:v>4</x:v>
      </x:c>
      <x:c r="O58" s="44" t="n">
        <x:f>INDEX('Assumptions'!$B$24:$B$29,MATCH(H58,'Assumptions'!$A$24:$A$29,0))*I58</x:f>
        <x:v>100.84349999999999</x:v>
      </x:c>
      <x:c r="P58" s="41" t="str">
        <x:v>Medium</x:v>
      </x:c>
      <x:c r="Q58" s="45" t="n">
        <x:f>INDEX('Assumptions'!$B$18:$B$21,MATCH(P58,'Assumptions'!$A$18:$A$21,0))</x:f>
        <x:v>1.25</x:v>
      </x:c>
      <x:c r="R58" s="46" t="n">
        <x:v>0.18</x:v>
      </x:c>
      <x:c r="S58" s="47" t="n">
        <x:f>L58*R58</x:f>
        <x:v>32.4</x:v>
      </x:c>
      <x:c r="T58" s="48" t="n">
        <x:v>5</x:v>
      </x:c>
      <x:c r="U58" s="41" t="n">
        <x:v>4</x:v>
      </x:c>
      <x:c r="V58" s="41" t="n">
        <x:v>56</x:v>
      </x:c>
      <x:c r="W58" s="49" t="n">
        <x:f>V58/100*'Assumptions'!$B$9</x:f>
        <x:v>0.196</x:v>
      </x:c>
      <x:c r="X58" s="49" t="n">
        <x:f>MIN('Assumptions'!$B$11,V58/100*'Assumptions'!$B$10)</x:f>
        <x:v>0.4368000000000001</x:v>
      </x:c>
      <x:c r="Y58" s="41" t="n">
        <x:v>82</x:v>
      </x:c>
      <x:c r="Z58" s="41" t="n">
        <x:v>62</x:v>
      </x:c>
      <x:c r="AA58" s="50" t="n">
        <x:f>K58*O58*Q58</x:f>
        <x:v>12479.383125</x:v>
      </x:c>
      <x:c r="AB58" s="50" t="n">
        <x:f>L58*O58*Q58</x:f>
        <x:v>22689.7875</x:v>
      </x:c>
      <x:c r="AC58" s="50" t="n">
        <x:f>M58*O58*Q58</x:f>
        <x:v>40841.6175</x:v>
      </x:c>
      <x:c r="AD58" s="50" t="n">
        <x:f>AB58*N58</x:f>
        <x:v>90759.15</x:v>
      </x:c>
      <x:c r="AE58" s="50" t="n">
        <x:f>MAX(0,N58*(AB58*W58-S58*O58-T58))</x:f>
        <x:v>4699.4758</x:v>
      </x:c>
      <x:c r="AF58" s="50" t="n">
        <x:f>MAX(0,N58*(AB58*X58-S58*O58-T58))</x:f>
        <x:v>26554.279120000003</x:v>
      </x:c>
      <x:c r="AG58" s="47" t="n">
        <x:f>(RANK.EQ(AD58,$AD$5:$AD$157,1)-1)/(COUNT($AD$5:$AD$157)-1)*100</x:f>
        <x:v>56.57894736842105</x:v>
      </x:c>
      <x:c r="AH58" s="47" t="n">
        <x:f>MAX(0,MIN(100,AG58*'Assumptions'!$B$5+V58*'Assumptions'!$B$6+Y58*'Assumptions'!$B$7+Z58*'Assumptions'!$B$8-(Q58-1)*'Assumptions'!$B$12))</x:f>
        <x:v>61.84473684210526</x:v>
      </x:c>
      <x:c r="AI58" s="51" t="str">
        <x:v>Medium</x:v>
      </x:c>
      <x:c r="AJ58" s="51" t="str">
        <x:v>Domain-specific document work needs reliable citations, schemas, and review routing rather than generic chat.</x:v>
      </x:c>
      <x:c r="AK58" s="53" t="str">
        <x:f>IF(AND(AH58&gt;=75,V58&gt;=65,Z58&gt;=60),"Build now",IF(AND(AH58&gt;=60,V58&gt;=50),"Validate next",IF(AH58&gt;=50,"Partner or monitor","Deprioritize")))</x:f>
        <x:v>Validate next</x:v>
      </x:c>
      <x:c r="AL58" s="51" t="str">
        <x:v>Production automation is feasible for standard cases with exception routing.</x:v>
      </x:c>
      <x:c r="AM58" s="51" t="str">
        <x:v>/Users/jaibhagat/code/prismml/agents-last-exam/tasks/business_finance/ar_full_300/task_card.json</x:v>
      </x:c>
    </x:row>
    <x:row r="59">
      <x:c r="A59" s="40" t="n">
        <x:f>COUNTIF($AH$5:$AH$157,"&gt;"&amp;AH59)+COUNTIF($AH$5:AH59,AH59)</x:f>
        <x:v>54</x:v>
      </x:c>
      <x:c r="B59" s="51" t="str">
        <x:v>life_sciences/amber_minimization_script_prep_instance_1</x:v>
      </x:c>
      <x:c r="C59" s="51" t="str">
        <x:v>Amber Implicit-Solvent Minimization Workflow Construction</x:v>
      </x:c>
      <x:c r="D59" s="51" t="str">
        <x:v>life_sciences</x:v>
      </x:c>
      <x:c r="E59" s="51" t="str">
        <x:v>Biomolecular Structure &amp; Design</x:v>
      </x:c>
      <x:c r="F59" s="51" t="str">
        <x:v>Document intelligence and compliance</x:v>
      </x:c>
      <x:c r="G59" s="51" t="str">
        <x:v>Bioinformatics or life-science researcher</x:v>
      </x:c>
      <x:c r="H59" s="51" t="str">
        <x:v>Professional and related</x:v>
      </x:c>
      <x:c r="I59" s="52" t="n">
        <x:v>1.25</x:v>
      </x:c>
      <x:c r="J59" s="51" t="str">
        <x:v>Report or analytical workbook</x:v>
      </x:c>
      <x:c r="K59" s="43" t="n">
        <x:v>13</x:v>
      </x:c>
      <x:c r="L59" s="43" t="n">
        <x:v>24</x:v>
      </x:c>
      <x:c r="M59" s="43" t="n">
        <x:v>43</x:v>
      </x:c>
      <x:c r="N59" s="43" t="n">
        <x:v>24</x:v>
      </x:c>
      <x:c r="O59" s="44" t="n">
        <x:f>INDEX('Assumptions'!$B$24:$B$29,MATCH(H59,'Assumptions'!$A$24:$A$29,0))*I59</x:f>
        <x:v>91.2375</x:v>
      </x:c>
      <x:c r="P59" s="41" t="str">
        <x:v>Medium</x:v>
      </x:c>
      <x:c r="Q59" s="45" t="n">
        <x:f>INDEX('Assumptions'!$B$18:$B$21,MATCH(P59,'Assumptions'!$A$18:$A$21,0))</x:f>
        <x:v>1.25</x:v>
      </x:c>
      <x:c r="R59" s="46" t="n">
        <x:v>0.18</x:v>
      </x:c>
      <x:c r="S59" s="47" t="n">
        <x:f>L59*R59</x:f>
        <x:v>4.32</x:v>
      </x:c>
      <x:c r="T59" s="48" t="n">
        <x:v>5</x:v>
      </x:c>
      <x:c r="U59" s="41" t="n">
        <x:v>4</x:v>
      </x:c>
      <x:c r="V59" s="41" t="n">
        <x:v>72</x:v>
      </x:c>
      <x:c r="W59" s="49" t="n">
        <x:f>V59/100*'Assumptions'!$B$9</x:f>
        <x:v>0.252</x:v>
      </x:c>
      <x:c r="X59" s="49" t="n">
        <x:f>MIN('Assumptions'!$B$11,V59/100*'Assumptions'!$B$10)</x:f>
        <x:v>0.5616</x:v>
      </x:c>
      <x:c r="Y59" s="41" t="n">
        <x:v>76</x:v>
      </x:c>
      <x:c r="Z59" s="41" t="n">
        <x:v>72</x:v>
      </x:c>
      <x:c r="AA59" s="50" t="n">
        <x:f>K59*O59*Q59</x:f>
        <x:v>1482.6093749999998</x:v>
      </x:c>
      <x:c r="AB59" s="50" t="n">
        <x:f>L59*O59*Q59</x:f>
        <x:v>2737.125</x:v>
      </x:c>
      <x:c r="AC59" s="50" t="n">
        <x:f>M59*O59*Q59</x:f>
        <x:v>4904.015625</x:v>
      </x:c>
      <x:c r="AD59" s="50" t="n">
        <x:f>AB59*N59</x:f>
        <x:v>65691</x:v>
      </x:c>
      <x:c r="AE59" s="50" t="n">
        <x:f>MAX(0,N59*(AB59*W59-S59*O59-T59))</x:f>
        <x:v>6974.627999999999</x:v>
      </x:c>
      <x:c r="AF59" s="50" t="n">
        <x:f>MAX(0,N59*(AB59*X59-S59*O59-T59))</x:f>
        <x:v>27312.5616</x:v>
      </x:c>
      <x:c r="AG59" s="47" t="n">
        <x:f>(RANK.EQ(AD59,$AD$5:$AD$157,1)-1)/(COUNT($AD$5:$AD$157)-1)*100</x:f>
        <x:v>34.868421052631575</x:v>
      </x:c>
      <x:c r="AH59" s="47" t="n">
        <x:f>MAX(0,MIN(100,AG59*'Assumptions'!$B$5+V59*'Assumptions'!$B$6+Y59*'Assumptions'!$B$7+Z59*'Assumptions'!$B$8-(Q59-1)*'Assumptions'!$B$12))</x:f>
        <x:v>61.71710526315789</x:v>
      </x:c>
      <x:c r="AI59" s="51" t="str">
        <x:v>Medium</x:v>
      </x:c>
      <x:c r="AJ59" s="51" t="str">
        <x:v>Organizations need repeatable extraction and evidence workflows across inconsistent source formats.</x:v>
      </x:c>
      <x:c r="AK59" s="53" t="str">
        <x:f>IF(AND(AH59&gt;=75,V59&gt;=65,Z59&gt;=60),"Build now",IF(AND(AH59&gt;=60,V59&gt;=50),"Validate next",IF(AH59&gt;=50,"Partner or monitor","Deprioritize")))</x:f>
        <x:v>Validate next</x:v>
      </x:c>
      <x:c r="AL59" s="51" t="str">
        <x:v>Production automation is feasible for standard cases with exception routing.</x:v>
      </x:c>
      <x:c r="AM59" s="51" t="str">
        <x:v>/Users/jaibhagat/code/prismml/agents-last-exam/tasks/life_sciences/amber_minimization_script_prep_instance_1/task_card.json</x:v>
      </x:c>
    </x:row>
    <x:row r="60">
      <x:c r="A60" s="40" t="n">
        <x:f>COUNTIF($AH$5:$AH$157,"&gt;"&amp;AH60)+COUNTIF($AH$5:AH60,AH60)</x:f>
        <x:v>55</x:v>
      </x:c>
      <x:c r="B60" s="51" t="str">
        <x:v>health_medicine/scene3_skullstrip_qc</x:v>
      </x:c>
      <x:c r="C60" s="51" t="str">
        <x:v>Scene3 Skullstrip QC</x:v>
      </x:c>
      <x:c r="D60" s="51" t="str">
        <x:v>health_medicine</x:v>
      </x:c>
      <x:c r="E60" s="51" t="str">
        <x:v>Experimental Psychology &amp; Neuroimaging</x:v>
      </x:c>
      <x:c r="F60" s="51" t="str">
        <x:v>Image, signal, or geospatial analysis</x:v>
      </x:c>
      <x:c r="G60" s="51" t="str">
        <x:v>Clinical data scientist or medical specialist</x:v>
      </x:c>
      <x:c r="H60" s="51" t="str">
        <x:v>Professional and related</x:v>
      </x:c>
      <x:c r="I60" s="52" t="n">
        <x:v>1.3</x:v>
      </x:c>
      <x:c r="J60" s="51" t="str">
        <x:v>Structured data artifact</x:v>
      </x:c>
      <x:c r="K60" s="43" t="n">
        <x:v>22</x:v>
      </x:c>
      <x:c r="L60" s="43" t="n">
        <x:v>40</x:v>
      </x:c>
      <x:c r="M60" s="43" t="n">
        <x:v>72</x:v>
      </x:c>
      <x:c r="N60" s="43" t="n">
        <x:v>100</x:v>
      </x:c>
      <x:c r="O60" s="44" t="n">
        <x:f>INDEX('Assumptions'!$B$24:$B$29,MATCH(H60,'Assumptions'!$A$24:$A$29,0))*I60</x:f>
        <x:v>94.887</x:v>
      </x:c>
      <x:c r="P60" s="41" t="str">
        <x:v>High</x:v>
      </x:c>
      <x:c r="Q60" s="45" t="n">
        <x:f>INDEX('Assumptions'!$B$18:$B$21,MATCH(P60,'Assumptions'!$A$18:$A$21,0))</x:f>
        <x:v>1.6</x:v>
      </x:c>
      <x:c r="R60" s="46" t="n">
        <x:v>0.28</x:v>
      </x:c>
      <x:c r="S60" s="47" t="n">
        <x:f>L60*R60</x:f>
        <x:v>11.200000000000001</x:v>
      </x:c>
      <x:c r="T60" s="48" t="n">
        <x:v>35</x:v>
      </x:c>
      <x:c r="U60" s="41" t="n">
        <x:v>4</x:v>
      </x:c>
      <x:c r="V60" s="41" t="n">
        <x:v>44</x:v>
      </x:c>
      <x:c r="W60" s="49" t="n">
        <x:f>V60/100*'Assumptions'!$B$9</x:f>
        <x:v>0.154</x:v>
      </x:c>
      <x:c r="X60" s="49" t="n">
        <x:f>MIN('Assumptions'!$B$11,V60/100*'Assumptions'!$B$10)</x:f>
        <x:v>0.3432</x:v>
      </x:c>
      <x:c r="Y60" s="41" t="n">
        <x:v>72</x:v>
      </x:c>
      <x:c r="Z60" s="41" t="n">
        <x:v>54</x:v>
      </x:c>
      <x:c r="AA60" s="50" t="n">
        <x:f>K60*O60*Q60</x:f>
        <x:v>3340.0224000000003</x:v>
      </x:c>
      <x:c r="AB60" s="50" t="n">
        <x:f>L60*O60*Q60</x:f>
        <x:v>6072.768</x:v>
      </x:c>
      <x:c r="AC60" s="50" t="n">
        <x:f>M60*O60*Q60</x:f>
        <x:v>10930.9824</x:v>
      </x:c>
      <x:c r="AD60" s="50" t="n">
        <x:f>AB60*N60</x:f>
        <x:v>607276.8</x:v>
      </x:c>
      <x:c r="AE60" s="50" t="n">
        <x:f>MAX(0,N60*(AB60*W60-S60*O60-T60))</x:f>
        <x:v>0</x:v>
      </x:c>
      <x:c r="AF60" s="50" t="n">
        <x:f>MAX(0,N60*(AB60*X60-S60*O60-T60))</x:f>
        <x:v>98643.95775999999</x:v>
      </x:c>
      <x:c r="AG60" s="47" t="n">
        <x:f>(RANK.EQ(AD60,$AD$5:$AD$157,1)-1)/(COUNT($AD$5:$AD$157)-1)*100</x:f>
        <x:v>98.02631578947368</x:v>
      </x:c>
      <x:c r="AH60" s="47" t="n">
        <x:f>MAX(0,MIN(100,AG60*'Assumptions'!$B$5+V60*'Assumptions'!$B$6+Y60*'Assumptions'!$B$7+Z60*'Assumptions'!$B$8-(Q60-1)*'Assumptions'!$B$12))</x:f>
        <x:v>61.70657894736843</x:v>
      </x:c>
      <x:c r="AI60" s="51" t="str">
        <x:v>Low</x:v>
      </x:c>
      <x:c r="AJ60" s="51" t="str">
        <x:v>Niche image and signal workflows remain fragmented across specialist tools and manual QA.</x:v>
      </x:c>
      <x:c r="AK60" s="53" t="str">
        <x:f>IF(AND(AH60&gt;=75,V60&gt;=65,Z60&gt;=60),"Build now",IF(AND(AH60&gt;=60,V60&gt;=50),"Validate next",IF(AH60&gt;=50,"Partner or monitor","Deprioritize")))</x:f>
        <x:v>Partner or monitor</x:v>
      </x:c>
      <x:c r="AL60" s="51" t="str">
        <x:v>Production automation is feasible for standard cases with exception routing.</x:v>
      </x:c>
      <x:c r="AM60" s="51" t="str">
        <x:v>/Users/jaibhagat/code/prismml/agents-last-exam/tasks/health_medicine/scene3_skullstrip_qc/task_card.json</x:v>
      </x:c>
    </x:row>
    <x:row r="61">
      <x:c r="A61" s="40" t="n">
        <x:f>COUNTIF($AH$5:$AH$157,"&gt;"&amp;AH61)+COUNTIF($AH$5:AH61,AH61)</x:f>
        <x:v>56</x:v>
      </x:c>
      <x:c r="B61" s="51" t="str">
        <x:v>life_sciences/pseudotime_de</x:v>
      </x:c>
      <x:c r="C61" s="51" t="str">
        <x:v>Pseudotime Differential Expression (Palantir + tradeSeq)</x:v>
      </x:c>
      <x:c r="D61" s="51" t="str">
        <x:v>life_sciences</x:v>
      </x:c>
      <x:c r="E61" s="51" t="str">
        <x:v>Genomics &amp; Sequence Analysis</x:v>
      </x:c>
      <x:c r="F61" s="51" t="str">
        <x:v>Scientific modeling and computation</x:v>
      </x:c>
      <x:c r="G61" s="51" t="str">
        <x:v>Bioinformatics or life-science researcher</x:v>
      </x:c>
      <x:c r="H61" s="51" t="str">
        <x:v>Professional and related</x:v>
      </x:c>
      <x:c r="I61" s="52" t="n">
        <x:v>1.25</x:v>
      </x:c>
      <x:c r="J61" s="51" t="str">
        <x:v>Structured data artifact</x:v>
      </x:c>
      <x:c r="K61" s="43" t="n">
        <x:v>413</x:v>
      </x:c>
      <x:c r="L61" s="43" t="n">
        <x:v>750</x:v>
      </x:c>
      <x:c r="M61" s="43" t="n">
        <x:v>1350</x:v>
      </x:c>
      <x:c r="N61" s="43" t="n">
        <x:v>4</x:v>
      </x:c>
      <x:c r="O61" s="44" t="n">
        <x:f>INDEX('Assumptions'!$B$24:$B$29,MATCH(H61,'Assumptions'!$A$24:$A$29,0))*I61</x:f>
        <x:v>91.2375</x:v>
      </x:c>
      <x:c r="P61" s="41" t="str">
        <x:v>Medium</x:v>
      </x:c>
      <x:c r="Q61" s="45" t="n">
        <x:f>INDEX('Assumptions'!$B$18:$B$21,MATCH(P61,'Assumptions'!$A$18:$A$21,0))</x:f>
        <x:v>1.25</x:v>
      </x:c>
      <x:c r="R61" s="46" t="n">
        <x:v>0.18</x:v>
      </x:c>
      <x:c r="S61" s="47" t="n">
        <x:f>L61*R61</x:f>
        <x:v>135</x:v>
      </x:c>
      <x:c r="T61" s="48" t="n">
        <x:v>100</x:v>
      </x:c>
      <x:c r="U61" s="41" t="n">
        <x:v>3</x:v>
      </x:c>
      <x:c r="V61" s="41" t="n">
        <x:v>34</x:v>
      </x:c>
      <x:c r="W61" s="49" t="n">
        <x:f>V61/100*'Assumptions'!$B$9</x:f>
        <x:v>0.119</x:v>
      </x:c>
      <x:c r="X61" s="49" t="n">
        <x:f>MIN('Assumptions'!$B$11,V61/100*'Assumptions'!$B$10)</x:f>
        <x:v>0.26520000000000005</x:v>
      </x:c>
      <x:c r="Y61" s="41" t="n">
        <x:v>82</x:v>
      </x:c>
      <x:c r="Z61" s="41" t="n">
        <x:v>48</x:v>
      </x:c>
      <x:c r="AA61" s="50" t="n">
        <x:f>K61*O61*Q61</x:f>
        <x:v>47101.359375</x:v>
      </x:c>
      <x:c r="AB61" s="50" t="n">
        <x:f>L61*O61*Q61</x:f>
        <x:v>85535.15625</x:v>
      </x:c>
      <x:c r="AC61" s="50" t="n">
        <x:f>M61*O61*Q61</x:f>
        <x:v>153963.28125</x:v>
      </x:c>
      <x:c r="AD61" s="50" t="n">
        <x:f>AB61*N61</x:f>
        <x:v>342140.625</x:v>
      </x:c>
      <x:c r="AE61" s="50" t="n">
        <x:f>MAX(0,N61*(AB61*W61-S61*O61-T61))</x:f>
        <x:v>0</x:v>
      </x:c>
      <x:c r="AF61" s="50" t="n">
        <x:f>MAX(0,N61*(AB61*X61-S61*O61-T61))</x:f>
        <x:v>41067.44375000002</x:v>
      </x:c>
      <x:c r="AG61" s="47" t="n">
        <x:f>(RANK.EQ(AD61,$AD$5:$AD$157,1)-1)/(COUNT($AD$5:$AD$157)-1)*100</x:f>
        <x:v>93.42105263157895</x:v>
      </x:c>
      <x:c r="AH61" s="47" t="n">
        <x:f>MAX(0,MIN(100,AG61*'Assumptions'!$B$5+V61*'Assumptions'!$B$6+Y61*'Assumptions'!$B$7+Z61*'Assumptions'!$B$8-(Q61-1)*'Assumptions'!$B$12))</x:f>
        <x:v>61.65526315789474</x:v>
      </x:c>
      <x:c r="AI61" s="51" t="str">
        <x:v>Medium</x:v>
      </x:c>
      <x:c r="AJ61" s="51" t="str">
        <x:v>Specialists lack agents that can operate domain tools, preserve provenance, and reproduce results.</x:v>
      </x:c>
      <x:c r="AK61" s="53" t="str">
        <x:f>IF(AND(AH61&gt;=75,V61&gt;=65,Z61&gt;=60),"Build now",IF(AND(AH61&gt;=60,V61&gt;=50),"Validate next",IF(AH61&gt;=50,"Partner or monitor","Deprioritize")))</x:f>
        <x:v>Partner or monitor</x:v>
      </x:c>
      <x:c r="AL61" s="51" t="str">
        <x:v>Bounded agents can complete standard cases with mandatory review.</x:v>
      </x:c>
      <x:c r="AM61" s="51" t="str">
        <x:v>/Users/jaibhagat/code/prismml/agents-last-exam/tasks/life_sciences/pseudotime_de/task_card.json</x:v>
      </x:c>
    </x:row>
    <x:row r="62">
      <x:c r="A62" s="40" t="n">
        <x:f>COUNTIF($AH$5:$AH$157,"&gt;"&amp;AH62)+COUNTIF($AH$5:AH62,AH62)</x:f>
        <x:v>58</x:v>
      </x:c>
      <x:c r="B62" s="51" t="str">
        <x:v>computing_math/branch_bound_atsp</x:v>
      </x:c>
      <x:c r="C62" s="51" t="str">
        <x:v>Branch-and-Bound ATSP Solver</x:v>
      </x:c>
      <x:c r="D62" s="51" t="str">
        <x:v>computing_math</x:v>
      </x:c>
      <x:c r="E62" s="51" t="str">
        <x:v>Mathematical &amp; Operations Research</x:v>
      </x:c>
      <x:c r="F62" s="51" t="str">
        <x:v>Structured analysis and decision support</x:v>
      </x:c>
      <x:c r="G62" s="51" t="str">
        <x:v>Software engineer or data scientist</x:v>
      </x:c>
      <x:c r="H62" s="51" t="str">
        <x:v>Professional and related</x:v>
      </x:c>
      <x:c r="I62" s="52" t="n">
        <x:v>1.15</x:v>
      </x:c>
      <x:c r="J62" s="51" t="str">
        <x:v>Structured data artifact</x:v>
      </x:c>
      <x:c r="K62" s="43" t="n">
        <x:v>18</x:v>
      </x:c>
      <x:c r="L62" s="43" t="n">
        <x:v>32</x:v>
      </x:c>
      <x:c r="M62" s="43" t="n">
        <x:v>58</x:v>
      </x:c>
      <x:c r="N62" s="43" t="n">
        <x:v>18</x:v>
      </x:c>
      <x:c r="O62" s="44" t="n">
        <x:f>INDEX('Assumptions'!$B$24:$B$29,MATCH(H62,'Assumptions'!$A$24:$A$29,0))*I62</x:f>
        <x:v>83.93849999999999</x:v>
      </x:c>
      <x:c r="P62" s="41" t="str">
        <x:v>Low</x:v>
      </x:c>
      <x:c r="Q62" s="45" t="n">
        <x:f>INDEX('Assumptions'!$B$18:$B$21,MATCH(P62,'Assumptions'!$A$18:$A$21,0))</x:f>
        <x:v>1</x:v>
      </x:c>
      <x:c r="R62" s="46" t="n">
        <x:v>0.1</x:v>
      </x:c>
      <x:c r="S62" s="47" t="n">
        <x:f>L62*R62</x:f>
        <x:v>3.2</x:v>
      </x:c>
      <x:c r="T62" s="48" t="n">
        <x:v>15</x:v>
      </x:c>
      <x:c r="U62" s="41" t="n">
        <x:v>4</x:v>
      </x:c>
      <x:c r="V62" s="41" t="n">
        <x:v>81</x:v>
      </x:c>
      <x:c r="W62" s="49" t="n">
        <x:f>V62/100*'Assumptions'!$B$9</x:f>
        <x:v>0.2835</x:v>
      </x:c>
      <x:c r="X62" s="49" t="n">
        <x:f>MIN('Assumptions'!$B$11,V62/100*'Assumptions'!$B$10)</x:f>
        <x:v>0.6318</x:v>
      </x:c>
      <x:c r="Y62" s="41" t="n">
        <x:v>66</x:v>
      </x:c>
      <x:c r="Z62" s="41" t="n">
        <x:v>79</x:v>
      </x:c>
      <x:c r="AA62" s="50" t="n">
        <x:f>K62*O62*Q62</x:f>
        <x:v>1510.8929999999998</x:v>
      </x:c>
      <x:c r="AB62" s="50" t="n">
        <x:f>L62*O62*Q62</x:f>
        <x:v>2686.0319999999997</x:v>
      </x:c>
      <x:c r="AC62" s="50" t="n">
        <x:f>M62*O62*Q62</x:f>
        <x:v>4868.432999999999</x:v>
      </x:c>
      <x:c r="AD62" s="50" t="n">
        <x:f>AB62*N62</x:f>
        <x:v>48348.575999999994</x:v>
      </x:c>
      <x:c r="AE62" s="50" t="n">
        <x:f>MAX(0,N62*(AB62*W62-S62*O62-T62))</x:f>
        <x:v>8601.963695999997</x:v>
      </x:c>
      <x:c r="AF62" s="50" t="n">
        <x:f>MAX(0,N62*(AB62*X62-S62*O62-T62))</x:f>
        <x:v>25441.7727168</x:v>
      </x:c>
      <x:c r="AG62" s="47" t="n">
        <x:f>(RANK.EQ(AD62,$AD$5:$AD$157,1)-1)/(COUNT($AD$5:$AD$157)-1)*100</x:f>
        <x:v>13.815789473684212</x:v>
      </x:c>
      <x:c r="AH62" s="47" t="n">
        <x:f>MAX(0,MIN(100,AG62*'Assumptions'!$B$5+V62*'Assumptions'!$B$6+Y62*'Assumptions'!$B$7+Z62*'Assumptions'!$B$8-(Q62-1)*'Assumptions'!$B$12))</x:f>
        <x:v>60.05394736842105</x:v>
      </x:c>
      <x:c r="AI62" s="51" t="str">
        <x:v>Medium</x:v>
      </x:c>
      <x:c r="AJ62" s="51" t="str">
        <x:v>Standard analyses are partly automated, but reliable evidence, exception handling, and deliverable compliance remain gaps.</x:v>
      </x:c>
      <x:c r="AK62" s="53" t="str">
        <x:f>IF(AND(AH62&gt;=75,V62&gt;=65,Z62&gt;=60),"Build now",IF(AND(AH62&gt;=60,V62&gt;=50),"Validate next",IF(AH62&gt;=50,"Partner or monitor","Deprioritize")))</x:f>
        <x:v>Validate next</x:v>
      </x:c>
      <x:c r="AL62" s="51" t="str">
        <x:v>Production automation is feasible for standard cases with exception routing.</x:v>
      </x:c>
      <x:c r="AM62" s="51" t="str">
        <x:v>/Users/jaibhagat/code/prismml/agents-last-exam/tasks/computing_math/branch_bound_atsp/task_card.json</x:v>
      </x:c>
    </x:row>
    <x:row r="63">
      <x:c r="A63" s="40" t="n">
        <x:f>COUNTIF($AH$5:$AH$157,"&gt;"&amp;AH63)+COUNTIF($AH$5:AH63,AH63)</x:f>
        <x:v>59</x:v>
      </x:c>
      <x:c r="B63" s="51" t="str">
        <x:v>life_sciences/yeast_colony_detection</x:v>
      </x:c>
      <x:c r="C63" s="51" t="str">
        <x:v>Yeast Colony Detection</x:v>
      </x:c>
      <x:c r="D63" s="51" t="str">
        <x:v>life_sciences</x:v>
      </x:c>
      <x:c r="E63" s="51" t="str">
        <x:v>Cell &amp; Imaging Biology</x:v>
      </x:c>
      <x:c r="F63" s="51" t="str">
        <x:v>Image, signal, or geospatial analysis</x:v>
      </x:c>
      <x:c r="G63" s="51" t="str">
        <x:v>Bioinformatics or life-science researcher</x:v>
      </x:c>
      <x:c r="H63" s="51" t="str">
        <x:v>Professional and related</x:v>
      </x:c>
      <x:c r="I63" s="52" t="n">
        <x:v>1.25</x:v>
      </x:c>
      <x:c r="J63" s="51" t="str">
        <x:v>Structured data artifact</x:v>
      </x:c>
      <x:c r="K63" s="43" t="n">
        <x:v>22</x:v>
      </x:c>
      <x:c r="L63" s="43" t="n">
        <x:v>40</x:v>
      </x:c>
      <x:c r="M63" s="43" t="n">
        <x:v>72</x:v>
      </x:c>
      <x:c r="N63" s="43" t="n">
        <x:v>24</x:v>
      </x:c>
      <x:c r="O63" s="44" t="n">
        <x:f>INDEX('Assumptions'!$B$24:$B$29,MATCH(H63,'Assumptions'!$A$24:$A$29,0))*I63</x:f>
        <x:v>91.2375</x:v>
      </x:c>
      <x:c r="P63" s="41" t="str">
        <x:v>Medium</x:v>
      </x:c>
      <x:c r="Q63" s="45" t="n">
        <x:f>INDEX('Assumptions'!$B$18:$B$21,MATCH(P63,'Assumptions'!$A$18:$A$21,0))</x:f>
        <x:v>1.25</x:v>
      </x:c>
      <x:c r="R63" s="46" t="n">
        <x:v>0.18</x:v>
      </x:c>
      <x:c r="S63" s="47" t="n">
        <x:f>L63*R63</x:f>
        <x:v>7.199999999999999</x:v>
      </x:c>
      <x:c r="T63" s="48" t="n">
        <x:v>35</x:v>
      </x:c>
      <x:c r="U63" s="41" t="n">
        <x:v>4</x:v>
      </x:c>
      <x:c r="V63" s="41" t="n">
        <x:v>51</x:v>
      </x:c>
      <x:c r="W63" s="49" t="n">
        <x:f>V63/100*'Assumptions'!$B$9</x:f>
        <x:v>0.1785</x:v>
      </x:c>
      <x:c r="X63" s="49" t="n">
        <x:f>MIN('Assumptions'!$B$11,V63/100*'Assumptions'!$B$10)</x:f>
        <x:v>0.39780000000000004</x:v>
      </x:c>
      <x:c r="Y63" s="41" t="n">
        <x:v>72</x:v>
      </x:c>
      <x:c r="Z63" s="41" t="n">
        <x:v>57</x:v>
      </x:c>
      <x:c r="AA63" s="50" t="n">
        <x:f>K63*O63*Q63</x:f>
        <x:v>2509.03125</x:v>
      </x:c>
      <x:c r="AB63" s="50" t="n">
        <x:f>L63*O63*Q63</x:f>
        <x:v>4561.875</x:v>
      </x:c>
      <x:c r="AC63" s="50" t="n">
        <x:f>M63*O63*Q63</x:f>
        <x:v>8211.375</x:v>
      </x:c>
      <x:c r="AD63" s="50" t="n">
        <x:f>AB63*N63</x:f>
        <x:v>109485</x:v>
      </x:c>
      <x:c r="AE63" s="50" t="n">
        <x:f>MAX(0,N63*(AB63*W63-S63*O63-T63))</x:f>
        <x:v>2937.232500000001</x:v>
      </x:c>
      <x:c r="AF63" s="50" t="n">
        <x:f>MAX(0,N63*(AB63*X63-S63*O63-T63))</x:f>
        <x:v>26947.293</x:v>
      </x:c>
      <x:c r="AG63" s="47" t="n">
        <x:f>(RANK.EQ(AD63,$AD$5:$AD$157,1)-1)/(COUNT($AD$5:$AD$157)-1)*100</x:f>
        <x:v>68.42105263157895</x:v>
      </x:c>
      <x:c r="AH63" s="47" t="n">
        <x:f>MAX(0,MIN(100,AG63*'Assumptions'!$B$5+V63*'Assumptions'!$B$6+Y63*'Assumptions'!$B$7+Z63*'Assumptions'!$B$8-(Q63-1)*'Assumptions'!$B$12))</x:f>
        <x:v>59.805263157894736</x:v>
      </x:c>
      <x:c r="AI63" s="51" t="str">
        <x:v>Low</x:v>
      </x:c>
      <x:c r="AJ63" s="51" t="str">
        <x:v>Niche image and signal workflows remain fragmented across specialist tools and manual QA.</x:v>
      </x:c>
      <x:c r="AK63" s="53" t="str">
        <x:f>IF(AND(AH63&gt;=75,V63&gt;=65,Z63&gt;=60),"Build now",IF(AND(AH63&gt;=60,V63&gt;=50),"Validate next",IF(AH63&gt;=50,"Partner or monitor","Deprioritize")))</x:f>
        <x:v>Partner or monitor</x:v>
      </x:c>
      <x:c r="AL63" s="51" t="str">
        <x:v>Production automation is feasible for standard cases with exception routing.</x:v>
      </x:c>
      <x:c r="AM63" s="51" t="str">
        <x:v>/Users/jaibhagat/code/prismml/agents-last-exam/tasks/life_sciences/yeast_colony_detection/task_card.json</x:v>
      </x:c>
    </x:row>
    <x:row r="64">
      <x:c r="A64" s="40" t="n">
        <x:f>COUNTIF($AH$5:$AH$157,"&gt;"&amp;AH64)+COUNTIF($AH$5:AH64,AH64)</x:f>
        <x:v>61</x:v>
      </x:c>
      <x:c r="B64" s="51" t="str">
        <x:v>business_finance/digital_marketing_ab_test_analysis_1</x:v>
      </x:c>
      <x:c r="C64" s="51" t="str">
        <x:v>Digital Marketing A/B Test Analysis</x:v>
      </x:c>
      <x:c r="D64" s="51" t="str">
        <x:v>business_finance</x:v>
      </x:c>
      <x:c r="E64" s="51" t="str">
        <x:v>Sales &amp; Marketing</x:v>
      </x:c>
      <x:c r="F64" s="51" t="str">
        <x:v>Structured analysis and decision support</x:v>
      </x:c>
      <x:c r="G64" s="51" t="str">
        <x:v>Business or marketing analyst</x:v>
      </x:c>
      <x:c r="H64" s="51" t="str">
        <x:v>Management, business, and financial</x:v>
      </x:c>
      <x:c r="I64" s="52" t="n">
        <x:v>1.15</x:v>
      </x:c>
      <x:c r="J64" s="51" t="str">
        <x:v>Structured data artifact</x:v>
      </x:c>
      <x:c r="K64" s="43" t="n">
        <x:v>18</x:v>
      </x:c>
      <x:c r="L64" s="43" t="n">
        <x:v>32</x:v>
      </x:c>
      <x:c r="M64" s="43" t="n">
        <x:v>58</x:v>
      </x:c>
      <x:c r="N64" s="43" t="n">
        <x:v>18</x:v>
      </x:c>
      <x:c r="O64" s="44" t="n">
        <x:f>INDEX('Assumptions'!$B$24:$B$29,MATCH(H64,'Assumptions'!$A$24:$A$29,0))*I64</x:f>
        <x:v>100.84349999999999</x:v>
      </x:c>
      <x:c r="P64" s="41" t="str">
        <x:v>Medium</x:v>
      </x:c>
      <x:c r="Q64" s="45" t="n">
        <x:f>INDEX('Assumptions'!$B$18:$B$21,MATCH(P64,'Assumptions'!$A$18:$A$21,0))</x:f>
        <x:v>1.25</x:v>
      </x:c>
      <x:c r="R64" s="46" t="n">
        <x:v>0.18</x:v>
      </x:c>
      <x:c r="S64" s="47" t="n">
        <x:f>L64*R64</x:f>
        <x:v>5.76</x:v>
      </x:c>
      <x:c r="T64" s="48" t="n">
        <x:v>15</x:v>
      </x:c>
      <x:c r="U64" s="41" t="n">
        <x:v>4</x:v>
      </x:c>
      <x:c r="V64" s="41" t="n">
        <x:v>74</x:v>
      </x:c>
      <x:c r="W64" s="49" t="n">
        <x:f>V64/100*'Assumptions'!$B$9</x:f>
        <x:v>0.259</x:v>
      </x:c>
      <x:c r="X64" s="49" t="n">
        <x:f>MIN('Assumptions'!$B$11,V64/100*'Assumptions'!$B$10)</x:f>
        <x:v>0.5772</x:v>
      </x:c>
      <x:c r="Y64" s="41" t="n">
        <x:v>58</x:v>
      </x:c>
      <x:c r="Z64" s="41" t="n">
        <x:v>74</x:v>
      </x:c>
      <x:c r="AA64" s="50" t="n">
        <x:f>K64*O64*Q64</x:f>
        <x:v>2268.9787499999998</x:v>
      </x:c>
      <x:c r="AB64" s="50" t="n">
        <x:f>L64*O64*Q64</x:f>
        <x:v>4033.74</x:v>
      </x:c>
      <x:c r="AC64" s="50" t="n">
        <x:f>M64*O64*Q64</x:f>
        <x:v>7311.1537499999995</x:v>
      </x:c>
      <x:c r="AD64" s="50" t="n">
        <x:f>AB64*N64</x:f>
        <x:v>72607.31999999999</x:v>
      </x:c>
      <x:c r="AE64" s="50" t="n">
        <x:f>MAX(0,N64*(AB64*W64-S64*O64-T64))</x:f>
        <x:v>8079.841800000002</x:v>
      </x:c>
      <x:c r="AF64" s="50" t="n">
        <x:f>MAX(0,N64*(AB64*X64-S64*O64-T64))</x:f>
        <x:v>31183.491024</x:v>
      </x:c>
      <x:c r="AG64" s="47" t="n">
        <x:f>(RANK.EQ(AD64,$AD$5:$AD$157,1)-1)/(COUNT($AD$5:$AD$157)-1)*100</x:f>
        <x:v>40.131578947368425</x:v>
      </x:c>
      <x:c r="AH64" s="47" t="n">
        <x:f>MAX(0,MIN(100,AG64*'Assumptions'!$B$5+V64*'Assumptions'!$B$6+Y64*'Assumptions'!$B$7+Z64*'Assumptions'!$B$8-(Q64-1)*'Assumptions'!$B$12))</x:f>
        <x:v>59.53289473684211</x:v>
      </x:c>
      <x:c r="AI64" s="51" t="str">
        <x:v>Medium</x:v>
      </x:c>
      <x:c r="AJ64" s="51" t="str">
        <x:v>Standard analyses are partly automated, but reliable evidence, exception handling, and deliverable compliance remain gaps.</x:v>
      </x:c>
      <x:c r="AK64" s="53" t="str">
        <x:f>IF(AND(AH64&gt;=75,V64&gt;=65,Z64&gt;=60),"Build now",IF(AND(AH64&gt;=60,V64&gt;=50),"Validate next",IF(AH64&gt;=50,"Partner or monitor","Deprioritize")))</x:f>
        <x:v>Partner or monitor</x:v>
      </x:c>
      <x:c r="AL64" s="51" t="str">
        <x:v>Production automation is feasible for standard cases with exception routing.</x:v>
      </x:c>
      <x:c r="AM64" s="51" t="str">
        <x:v>/Users/jaibhagat/code/prismml/agents-last-exam/tasks/business_finance/digital_marketing_ab_test_analysis_1/task_card.json</x:v>
      </x:c>
    </x:row>
    <x:row r="65">
      <x:c r="A65" s="40" t="n">
        <x:f>COUNTIF($AH$5:$AH$157,"&gt;"&amp;AH65)+COUNTIF($AH$5:AH65,AH65)</x:f>
        <x:v>60</x:v>
      </x:c>
      <x:c r="B65" s="51" t="str">
        <x:v>social_sciences/atwood_2022_measles_vaccine_reproduction</x:v>
      </x:c>
      <x:c r="C65" s="51" t="str">
        <x:v>Atwood 2022 Measles Vaccine Coefficient Reproduction</x:v>
      </x:c>
      <x:c r="D65" s="51" t="str">
        <x:v>social_sciences</x:v>
      </x:c>
      <x:c r="E65" s="51" t="str">
        <x:v>Economics &amp; Quantitative Social Research</x:v>
      </x:c>
      <x:c r="F65" s="51" t="str">
        <x:v>Document intelligence and compliance</x:v>
      </x:c>
      <x:c r="G65" s="51" t="str">
        <x:v>Social-science researcher</x:v>
      </x:c>
      <x:c r="H65" s="51" t="str">
        <x:v>Professional and related</x:v>
      </x:c>
      <x:c r="I65" s="52" t="n">
        <x:v>1.05</x:v>
      </x:c>
      <x:c r="J65" s="51" t="str">
        <x:v>Structured data artifact</x:v>
      </x:c>
      <x:c r="K65" s="43" t="n">
        <x:v>13</x:v>
      </x:c>
      <x:c r="L65" s="43" t="n">
        <x:v>24</x:v>
      </x:c>
      <x:c r="M65" s="43" t="n">
        <x:v>43</x:v>
      </x:c>
      <x:c r="N65" s="43" t="n">
        <x:v>24</x:v>
      </x:c>
      <x:c r="O65" s="44" t="n">
        <x:f>INDEX('Assumptions'!$B$24:$B$29,MATCH(H65,'Assumptions'!$A$24:$A$29,0))*I65</x:f>
        <x:v>76.6395</x:v>
      </x:c>
      <x:c r="P65" s="41" t="str">
        <x:v>Low</x:v>
      </x:c>
      <x:c r="Q65" s="45" t="n">
        <x:f>INDEX('Assumptions'!$B$18:$B$21,MATCH(P65,'Assumptions'!$A$18:$A$21,0))</x:f>
        <x:v>1</x:v>
      </x:c>
      <x:c r="R65" s="46" t="n">
        <x:v>0.1</x:v>
      </x:c>
      <x:c r="S65" s="47" t="n">
        <x:f>L65*R65</x:f>
        <x:v>2.4000000000000004</x:v>
      </x:c>
      <x:c r="T65" s="48" t="n">
        <x:v>5</x:v>
      </x:c>
      <x:c r="U65" s="41" t="n">
        <x:v>5</x:v>
      </x:c>
      <x:c r="V65" s="41" t="n">
        <x:v>66</x:v>
      </x:c>
      <x:c r="W65" s="49" t="n">
        <x:f>V65/100*'Assumptions'!$B$9</x:f>
        <x:v>0.23099999999999998</x:v>
      </x:c>
      <x:c r="X65" s="49" t="n">
        <x:f>MIN('Assumptions'!$B$11,V65/100*'Assumptions'!$B$10)</x:f>
        <x:v>0.5148</x:v>
      </x:c>
      <x:c r="Y65" s="41" t="n">
        <x:v>86</x:v>
      </x:c>
      <x:c r="Z65" s="41" t="n">
        <x:v>76</x:v>
      </x:c>
      <x:c r="AA65" s="50" t="n">
        <x:f>K65*O65*Q65</x:f>
        <x:v>996.3135</x:v>
      </x:c>
      <x:c r="AB65" s="50" t="n">
        <x:f>L65*O65*Q65</x:f>
        <x:v>1839.348</x:v>
      </x:c>
      <x:c r="AC65" s="50" t="n">
        <x:f>M65*O65*Q65</x:f>
        <x:v>3295.4984999999997</x:v>
      </x:c>
      <x:c r="AD65" s="50" t="n">
        <x:f>AB65*N65</x:f>
        <x:v>44144.352</x:v>
      </x:c>
      <x:c r="AE65" s="50" t="n">
        <x:f>MAX(0,N65*(AB65*W65-S65*O65-T65))</x:f>
        <x:v>5662.910111999998</x:v>
      </x:c>
      <x:c r="AF65" s="50" t="n">
        <x:f>MAX(0,N65*(AB65*X65-S65*O65-T65))</x:f>
        <x:v>18191.0772096</x:v>
      </x:c>
      <x:c r="AG65" s="47" t="n">
        <x:f>(RANK.EQ(AD65,$AD$5:$AD$157,1)-1)/(COUNT($AD$5:$AD$157)-1)*100</x:f>
        <x:v>13.157894736842104</x:v>
      </x:c>
      <x:c r="AH65" s="47" t="n">
        <x:f>MAX(0,MIN(100,AG65*'Assumptions'!$B$5+V65*'Assumptions'!$B$6+Y65*'Assumptions'!$B$7+Z65*'Assumptions'!$B$8-(Q65-1)*'Assumptions'!$B$12))</x:f>
        <x:v>59.789473684210535</x:v>
      </x:c>
      <x:c r="AI65" s="51" t="str">
        <x:v>Medium</x:v>
      </x:c>
      <x:c r="AJ65" s="51" t="str">
        <x:v>Organizations need repeatable extraction and evidence workflows across inconsistent source formats.</x:v>
      </x:c>
      <x:c r="AK65" s="53" t="str">
        <x:f>IF(AND(AH65&gt;=75,V65&gt;=65,Z65&gt;=60),"Build now",IF(AND(AH65&gt;=60,V65&gt;=50),"Validate next",IF(AH65&gt;=50,"Partner or monitor","Deprioritize")))</x:f>
        <x:v>Partner or monitor</x:v>
      </x:c>
      <x:c r="AL65" s="51" t="str">
        <x:v>Commodity automation exists for most of the work unit.</x:v>
      </x:c>
      <x:c r="AM65" s="51" t="str">
        <x:v>/Users/jaibhagat/code/prismml/agents-last-exam/tasks/social_sciences/atwood_2022_measles_vaccine_reproduction/task_card.json</x:v>
      </x:c>
    </x:row>
    <x:row r="66">
      <x:c r="A66" s="40" t="n">
        <x:f>COUNTIF($AH$5:$AH$157,"&gt;"&amp;AH66)+COUNTIF($AH$5:AH66,AH66)</x:f>
        <x:v>62</x:v>
      </x:c>
      <x:c r="B66" s="51" t="str">
        <x:v>health_medicine/public_health_mask_mandate_ratio</x:v>
      </x:c>
      <x:c r="C66" s="51" t="str">
        <x:v>Mask Mandate Moment-In-Time Ratio</x:v>
      </x:c>
      <x:c r="D66" s="51" t="str">
        <x:v>health_medicine</x:v>
      </x:c>
      <x:c r="E66" s="51" t="str">
        <x:v>Public Health &amp; Epidemiology</x:v>
      </x:c>
      <x:c r="F66" s="51" t="str">
        <x:v>Document intelligence and compliance</x:v>
      </x:c>
      <x:c r="G66" s="51" t="str">
        <x:v>Clinical data scientist or medical specialist</x:v>
      </x:c>
      <x:c r="H66" s="51" t="str">
        <x:v>Professional and related</x:v>
      </x:c>
      <x:c r="I66" s="52" t="n">
        <x:v>1.3</x:v>
      </x:c>
      <x:c r="J66" s="51" t="str">
        <x:v>Structured data artifact</x:v>
      </x:c>
      <x:c r="K66" s="43" t="n">
        <x:v>10</x:v>
      </x:c>
      <x:c r="L66" s="43" t="n">
        <x:v>18</x:v>
      </x:c>
      <x:c r="M66" s="43" t="n">
        <x:v>32</x:v>
      </x:c>
      <x:c r="N66" s="43" t="n">
        <x:v>24</x:v>
      </x:c>
      <x:c r="O66" s="44" t="n">
        <x:f>INDEX('Assumptions'!$B$24:$B$29,MATCH(H66,'Assumptions'!$A$24:$A$29,0))*I66</x:f>
        <x:v>94.887</x:v>
      </x:c>
      <x:c r="P66" s="41" t="str">
        <x:v>Critical</x:v>
      </x:c>
      <x:c r="Q66" s="45" t="n">
        <x:f>INDEX('Assumptions'!$B$18:$B$21,MATCH(P66,'Assumptions'!$A$18:$A$21,0))</x:f>
        <x:v>2.2</x:v>
      </x:c>
      <x:c r="R66" s="46" t="n">
        <x:v>0.4</x:v>
      </x:c>
      <x:c r="S66" s="47" t="n">
        <x:f>L66*R66</x:f>
        <x:v>7.2</x:v>
      </x:c>
      <x:c r="T66" s="48" t="n">
        <x:v>5</x:v>
      </x:c>
      <x:c r="U66" s="41" t="n">
        <x:v>4</x:v>
      </x:c>
      <x:c r="V66" s="41" t="n">
        <x:v>72</x:v>
      </x:c>
      <x:c r="W66" s="49" t="n">
        <x:f>V66/100*'Assumptions'!$B$9</x:f>
        <x:v>0.252</x:v>
      </x:c>
      <x:c r="X66" s="49" t="n">
        <x:f>MIN('Assumptions'!$B$11,V66/100*'Assumptions'!$B$10)</x:f>
        <x:v>0.5616</x:v>
      </x:c>
      <x:c r="Y66" s="41" t="n">
        <x:v>80</x:v>
      </x:c>
      <x:c r="Z66" s="41" t="n">
        <x:v>66</x:v>
      </x:c>
      <x:c r="AA66" s="50" t="n">
        <x:f>K66*O66*Q66</x:f>
        <x:v>2087.514</x:v>
      </x:c>
      <x:c r="AB66" s="50" t="n">
        <x:f>L66*O66*Q66</x:f>
        <x:v>3757.5252</x:v>
      </x:c>
      <x:c r="AC66" s="50" t="n">
        <x:f>M66*O66*Q66</x:f>
        <x:v>6680.044800000001</x:v>
      </x:c>
      <x:c r="AD66" s="50" t="n">
        <x:f>AB66*N66</x:f>
        <x:v>90180.6048</x:v>
      </x:c>
      <x:c r="AE66" s="50" t="n">
        <x:f>MAX(0,N66*(AB66*W66-S66*O66-T66))</x:f>
        <x:v>6209.038809599998</x:v>
      </x:c>
      <x:c r="AF66" s="50" t="n">
        <x:f>MAX(0,N66*(AB66*X66-S66*O66-T66))</x:f>
        <x:v>34128.95405568</x:v>
      </x:c>
      <x:c r="AG66" s="47" t="n">
        <x:f>(RANK.EQ(AD66,$AD$5:$AD$157,1)-1)/(COUNT($AD$5:$AD$157)-1)*100</x:f>
        <x:v>55.92105263157895</x:v>
      </x:c>
      <x:c r="AH66" s="47" t="n">
        <x:f>MAX(0,MIN(100,AG66*'Assumptions'!$B$5+V66*'Assumptions'!$B$6+Y66*'Assumptions'!$B$7+Z66*'Assumptions'!$B$8-(Q66-1)*'Assumptions'!$B$12))</x:f>
        <x:v>59.180263157894736</x:v>
      </x:c>
      <x:c r="AI66" s="51" t="str">
        <x:v>Medium</x:v>
      </x:c>
      <x:c r="AJ66" s="51" t="str">
        <x:v>Domain-specific document work needs reliable citations, schemas, and review routing rather than generic chat.</x:v>
      </x:c>
      <x:c r="AK66" s="53" t="str">
        <x:f>IF(AND(AH66&gt;=75,V66&gt;=65,Z66&gt;=60),"Build now",IF(AND(AH66&gt;=60,V66&gt;=50),"Validate next",IF(AH66&gt;=50,"Partner or monitor","Deprioritize")))</x:f>
        <x:v>Partner or monitor</x:v>
      </x:c>
      <x:c r="AL66" s="51" t="str">
        <x:v>Production automation is feasible for standard cases with exception routing. Accountable professional signoff remains necessary.</x:v>
      </x:c>
      <x:c r="AM66" s="51" t="str">
        <x:v>/Users/jaibhagat/code/prismml/agents-last-exam/tasks/health_medicine/public_health_mask_mandate_ratio/task_card.json</x:v>
      </x:c>
    </x:row>
    <x:row r="67">
      <x:c r="A67" s="40" t="n">
        <x:f>COUNTIF($AH$5:$AH$157,"&gt;"&amp;AH67)+COUNTIF($AH$5:AH67,AH67)</x:f>
        <x:v>63</x:v>
      </x:c>
      <x:c r="B67" s="51" t="str">
        <x:v>life_sciences/merfish_image_decoding_segmentation_1</x:v>
      </x:c>
      <x:c r="C67" s="51" t="str">
        <x:v>Single-FOV MERFISH Image Decoding And Cell Segmentation</x:v>
      </x:c>
      <x:c r="D67" s="51" t="str">
        <x:v>life_sciences</x:v>
      </x:c>
      <x:c r="E67" s="51" t="str">
        <x:v>Cell &amp; Imaging Biology</x:v>
      </x:c>
      <x:c r="F67" s="51" t="str">
        <x:v>Image, signal, or geospatial analysis</x:v>
      </x:c>
      <x:c r="G67" s="51" t="str">
        <x:v>Bioinformatics or life-science researcher</x:v>
      </x:c>
      <x:c r="H67" s="51" t="str">
        <x:v>Professional and related</x:v>
      </x:c>
      <x:c r="I67" s="52" t="n">
        <x:v>1.25</x:v>
      </x:c>
      <x:c r="J67" s="51" t="str">
        <x:v>Structured data artifact</x:v>
      </x:c>
      <x:c r="K67" s="43" t="n">
        <x:v>22</x:v>
      </x:c>
      <x:c r="L67" s="43" t="n">
        <x:v>40</x:v>
      </x:c>
      <x:c r="M67" s="43" t="n">
        <x:v>72</x:v>
      </x:c>
      <x:c r="N67" s="43" t="n">
        <x:v>24</x:v>
      </x:c>
      <x:c r="O67" s="44" t="n">
        <x:f>INDEX('Assumptions'!$B$24:$B$29,MATCH(H67,'Assumptions'!$A$24:$A$29,0))*I67</x:f>
        <x:v>91.2375</x:v>
      </x:c>
      <x:c r="P67" s="41" t="str">
        <x:v>Medium</x:v>
      </x:c>
      <x:c r="Q67" s="45" t="n">
        <x:f>INDEX('Assumptions'!$B$18:$B$21,MATCH(P67,'Assumptions'!$A$18:$A$21,0))</x:f>
        <x:v>1.25</x:v>
      </x:c>
      <x:c r="R67" s="46" t="n">
        <x:v>0.18</x:v>
      </x:c>
      <x:c r="S67" s="47" t="n">
        <x:f>L67*R67</x:f>
        <x:v>7.199999999999999</x:v>
      </x:c>
      <x:c r="T67" s="48" t="n">
        <x:v>35</x:v>
      </x:c>
      <x:c r="U67" s="41" t="n">
        <x:v>4</x:v>
      </x:c>
      <x:c r="V67" s="41" t="n">
        <x:v>44</x:v>
      </x:c>
      <x:c r="W67" s="49" t="n">
        <x:f>V67/100*'Assumptions'!$B$9</x:f>
        <x:v>0.154</x:v>
      </x:c>
      <x:c r="X67" s="49" t="n">
        <x:f>MIN('Assumptions'!$B$11,V67/100*'Assumptions'!$B$10)</x:f>
        <x:v>0.3432</x:v>
      </x:c>
      <x:c r="Y67" s="41" t="n">
        <x:v>72</x:v>
      </x:c>
      <x:c r="Z67" s="41" t="n">
        <x:v>62</x:v>
      </x:c>
      <x:c r="AA67" s="50" t="n">
        <x:f>K67*O67*Q67</x:f>
        <x:v>2509.03125</x:v>
      </x:c>
      <x:c r="AB67" s="50" t="n">
        <x:f>L67*O67*Q67</x:f>
        <x:v>4561.875</x:v>
      </x:c>
      <x:c r="AC67" s="50" t="n">
        <x:f>M67*O67*Q67</x:f>
        <x:v>8211.375</x:v>
      </x:c>
      <x:c r="AD67" s="50" t="n">
        <x:f>AB67*N67</x:f>
        <x:v>109485</x:v>
      </x:c>
      <x:c r="AE67" s="50" t="n">
        <x:f>MAX(0,N67*(AB67*W67-S67*O67-T67))</x:f>
        <x:v>254.84999999999945</x:v>
      </x:c>
      <x:c r="AF67" s="50" t="n">
        <x:f>MAX(0,N67*(AB67*X67-S67*O67-T67))</x:f>
        <x:v>20969.412000000004</x:v>
      </x:c>
      <x:c r="AG67" s="47" t="n">
        <x:f>(RANK.EQ(AD67,$AD$5:$AD$157,1)-1)/(COUNT($AD$5:$AD$157)-1)*100</x:f>
        <x:v>68.42105263157895</x:v>
      </x:c>
      <x:c r="AH67" s="47" t="n">
        <x:f>MAX(0,MIN(100,AG67*'Assumptions'!$B$5+V67*'Assumptions'!$B$6+Y67*'Assumptions'!$B$7+Z67*'Assumptions'!$B$8-(Q67-1)*'Assumptions'!$B$12))</x:f>
        <x:v>58.705263157894734</x:v>
      </x:c>
      <x:c r="AI67" s="51" t="str">
        <x:v>Low</x:v>
      </x:c>
      <x:c r="AJ67" s="51" t="str">
        <x:v>Niche image and signal workflows remain fragmented across specialist tools and manual QA.</x:v>
      </x:c>
      <x:c r="AK67" s="53" t="str">
        <x:f>IF(AND(AH67&gt;=75,V67&gt;=65,Z67&gt;=60),"Build now",IF(AND(AH67&gt;=60,V67&gt;=50),"Validate next",IF(AH67&gt;=50,"Partner or monitor","Deprioritize")))</x:f>
        <x:v>Partner or monitor</x:v>
      </x:c>
      <x:c r="AL67" s="51" t="str">
        <x:v>Production automation is feasible for standard cases with exception routing.</x:v>
      </x:c>
      <x:c r="AM67" s="51" t="str">
        <x:v>/Users/jaibhagat/code/prismml/agents-last-exam/tasks/life_sciences/merfish_image_decoding_segmentation_1/task_card.json</x:v>
      </x:c>
    </x:row>
    <x:row r="68">
      <x:c r="A68" s="40" t="n">
        <x:f>COUNTIF($AH$5:$AH$157,"&gt;"&amp;AH68)+COUNTIF($AH$5:AH68,AH68)</x:f>
        <x:v>64</x:v>
      </x:c>
      <x:c r="B68" s="51" t="str">
        <x:v>computing_math/recsys_cold_start_instance_1</x:v>
      </x:c>
      <x:c r="C68" s="51" t="str">
        <x:v>Hybrid Recommender Cold-Start Benchmark</x:v>
      </x:c>
      <x:c r="D68" s="51" t="str">
        <x:v>computing_math</x:v>
      </x:c>
      <x:c r="E68" s="51" t="str">
        <x:v>Data &amp; Analytics Engineering</x:v>
      </x:c>
      <x:c r="F68" s="51" t="str">
        <x:v>Structured analysis and decision support</x:v>
      </x:c>
      <x:c r="G68" s="51" t="str">
        <x:v>Software engineer or data scientist</x:v>
      </x:c>
      <x:c r="H68" s="51" t="str">
        <x:v>Professional and related</x:v>
      </x:c>
      <x:c r="I68" s="52" t="n">
        <x:v>1.15</x:v>
      </x:c>
      <x:c r="J68" s="51" t="str">
        <x:v>Structured data artifact</x:v>
      </x:c>
      <x:c r="K68" s="43" t="n">
        <x:v>18</x:v>
      </x:c>
      <x:c r="L68" s="43" t="n">
        <x:v>32</x:v>
      </x:c>
      <x:c r="M68" s="43" t="n">
        <x:v>58</x:v>
      </x:c>
      <x:c r="N68" s="43" t="n">
        <x:v>18</x:v>
      </x:c>
      <x:c r="O68" s="44" t="n">
        <x:f>INDEX('Assumptions'!$B$24:$B$29,MATCH(H68,'Assumptions'!$A$24:$A$29,0))*I68</x:f>
        <x:v>83.93849999999999</x:v>
      </x:c>
      <x:c r="P68" s="41" t="str">
        <x:v>Low</x:v>
      </x:c>
      <x:c r="Q68" s="45" t="n">
        <x:f>INDEX('Assumptions'!$B$18:$B$21,MATCH(P68,'Assumptions'!$A$18:$A$21,0))</x:f>
        <x:v>1</x:v>
      </x:c>
      <x:c r="R68" s="46" t="n">
        <x:v>0.1</x:v>
      </x:c>
      <x:c r="S68" s="47" t="n">
        <x:f>L68*R68</x:f>
        <x:v>3.2</x:v>
      </x:c>
      <x:c r="T68" s="48" t="n">
        <x:v>15</x:v>
      </x:c>
      <x:c r="U68" s="41" t="n">
        <x:v>4</x:v>
      </x:c>
      <x:c r="V68" s="41" t="n">
        <x:v>74</x:v>
      </x:c>
      <x:c r="W68" s="49" t="n">
        <x:f>V68/100*'Assumptions'!$B$9</x:f>
        <x:v>0.259</x:v>
      </x:c>
      <x:c r="X68" s="49" t="n">
        <x:f>MIN('Assumptions'!$B$11,V68/100*'Assumptions'!$B$10)</x:f>
        <x:v>0.5772</x:v>
      </x:c>
      <x:c r="Y68" s="41" t="n">
        <x:v>66</x:v>
      </x:c>
      <x:c r="Z68" s="41" t="n">
        <x:v>79</x:v>
      </x:c>
      <x:c r="AA68" s="50" t="n">
        <x:f>K68*O68*Q68</x:f>
        <x:v>1510.8929999999998</x:v>
      </x:c>
      <x:c r="AB68" s="50" t="n">
        <x:f>L68*O68*Q68</x:f>
        <x:v>2686.0319999999997</x:v>
      </x:c>
      <x:c r="AC68" s="50" t="n">
        <x:f>M68*O68*Q68</x:f>
        <x:v>4868.432999999999</x:v>
      </x:c>
      <x:c r="AD68" s="50" t="n">
        <x:f>AB68*N68</x:f>
        <x:v>48348.575999999994</x:v>
      </x:c>
      <x:c r="AE68" s="50" t="n">
        <x:f>MAX(0,N68*(AB68*W68-S68*O68-T68))</x:f>
        <x:v>7417.423584</x:v>
      </x:c>
      <x:c r="AF68" s="50" t="n">
        <x:f>MAX(0,N68*(AB68*X68-S68*O68-T68))</x:f>
        <x:v>22801.9404672</x:v>
      </x:c>
      <x:c r="AG68" s="47" t="n">
        <x:f>(RANK.EQ(AD68,$AD$5:$AD$157,1)-1)/(COUNT($AD$5:$AD$157)-1)*100</x:f>
        <x:v>13.815789473684212</x:v>
      </x:c>
      <x:c r="AH68" s="47" t="n">
        <x:f>MAX(0,MIN(100,AG68*'Assumptions'!$B$5+V68*'Assumptions'!$B$6+Y68*'Assumptions'!$B$7+Z68*'Assumptions'!$B$8-(Q68-1)*'Assumptions'!$B$12))</x:f>
        <x:v>57.953947368421055</x:v>
      </x:c>
      <x:c r="AI68" s="51" t="str">
        <x:v>Medium</x:v>
      </x:c>
      <x:c r="AJ68" s="51" t="str">
        <x:v>Standard analyses are partly automated, but reliable evidence, exception handling, and deliverable compliance remain gaps.</x:v>
      </x:c>
      <x:c r="AK68" s="53" t="str">
        <x:f>IF(AND(AH68&gt;=75,V68&gt;=65,Z68&gt;=60),"Build now",IF(AND(AH68&gt;=60,V68&gt;=50),"Validate next",IF(AH68&gt;=50,"Partner or monitor","Deprioritize")))</x:f>
        <x:v>Partner or monitor</x:v>
      </x:c>
      <x:c r="AL68" s="51" t="str">
        <x:v>Production automation is feasible for standard cases with exception routing.</x:v>
      </x:c>
      <x:c r="AM68" s="51" t="str">
        <x:v>/Users/jaibhagat/code/prismml/agents-last-exam/tasks/computing_math/recsys_cold_start_instance_1/task_card.json</x:v>
      </x:c>
    </x:row>
    <x:row r="69">
      <x:c r="A69" s="40" t="n">
        <x:f>COUNTIF($AH$5:$AH$157,"&gt;"&amp;AH69)+COUNTIF($AH$5:AH69,AH69)</x:f>
        <x:v>65</x:v>
      </x:c>
      <x:c r="B69" s="51" t="str">
        <x:v>computing_math/cfr_game_theory_equilibrium</x:v>
      </x:c>
      <x:c r="C69" s="51" t="str">
        <x:v>CFR Game Theory Equilibrium</x:v>
      </x:c>
      <x:c r="D69" s="51" t="str">
        <x:v>computing_math</x:v>
      </x:c>
      <x:c r="E69" s="51" t="str">
        <x:v>Mathematical &amp; Operations Research</x:v>
      </x:c>
      <x:c r="F69" s="51" t="str">
        <x:v>Structured analysis and decision support</x:v>
      </x:c>
      <x:c r="G69" s="51" t="str">
        <x:v>Software engineer or data scientist</x:v>
      </x:c>
      <x:c r="H69" s="51" t="str">
        <x:v>Professional and related</x:v>
      </x:c>
      <x:c r="I69" s="52" t="n">
        <x:v>1.15</x:v>
      </x:c>
      <x:c r="J69" s="51" t="str">
        <x:v>Structured data artifact</x:v>
      </x:c>
      <x:c r="K69" s="43" t="n">
        <x:v>18</x:v>
      </x:c>
      <x:c r="L69" s="43" t="n">
        <x:v>32</x:v>
      </x:c>
      <x:c r="M69" s="43" t="n">
        <x:v>58</x:v>
      </x:c>
      <x:c r="N69" s="43" t="n">
        <x:v>18</x:v>
      </x:c>
      <x:c r="O69" s="44" t="n">
        <x:f>INDEX('Assumptions'!$B$24:$B$29,MATCH(H69,'Assumptions'!$A$24:$A$29,0))*I69</x:f>
        <x:v>83.93849999999999</x:v>
      </x:c>
      <x:c r="P69" s="41" t="str">
        <x:v>Low</x:v>
      </x:c>
      <x:c r="Q69" s="45" t="n">
        <x:f>INDEX('Assumptions'!$B$18:$B$21,MATCH(P69,'Assumptions'!$A$18:$A$21,0))</x:f>
        <x:v>1</x:v>
      </x:c>
      <x:c r="R69" s="46" t="n">
        <x:v>0.1</x:v>
      </x:c>
      <x:c r="S69" s="47" t="n">
        <x:f>L69*R69</x:f>
        <x:v>3.2</x:v>
      </x:c>
      <x:c r="T69" s="48" t="n">
        <x:v>15</x:v>
      </x:c>
      <x:c r="U69" s="41" t="n">
        <x:v>4</x:v>
      </x:c>
      <x:c r="V69" s="41" t="n">
        <x:v>74</x:v>
      </x:c>
      <x:c r="W69" s="49" t="n">
        <x:f>V69/100*'Assumptions'!$B$9</x:f>
        <x:v>0.259</x:v>
      </x:c>
      <x:c r="X69" s="49" t="n">
        <x:f>MIN('Assumptions'!$B$11,V69/100*'Assumptions'!$B$10)</x:f>
        <x:v>0.5772</x:v>
      </x:c>
      <x:c r="Y69" s="41" t="n">
        <x:v>66</x:v>
      </x:c>
      <x:c r="Z69" s="41" t="n">
        <x:v>79</x:v>
      </x:c>
      <x:c r="AA69" s="50" t="n">
        <x:f>K69*O69*Q69</x:f>
        <x:v>1510.8929999999998</x:v>
      </x:c>
      <x:c r="AB69" s="50" t="n">
        <x:f>L69*O69*Q69</x:f>
        <x:v>2686.0319999999997</x:v>
      </x:c>
      <x:c r="AC69" s="50" t="n">
        <x:f>M69*O69*Q69</x:f>
        <x:v>4868.432999999999</x:v>
      </x:c>
      <x:c r="AD69" s="50" t="n">
        <x:f>AB69*N69</x:f>
        <x:v>48348.575999999994</x:v>
      </x:c>
      <x:c r="AE69" s="50" t="n">
        <x:f>MAX(0,N69*(AB69*W69-S69*O69-T69))</x:f>
        <x:v>7417.423584</x:v>
      </x:c>
      <x:c r="AF69" s="50" t="n">
        <x:f>MAX(0,N69*(AB69*X69-S69*O69-T69))</x:f>
        <x:v>22801.9404672</x:v>
      </x:c>
      <x:c r="AG69" s="47" t="n">
        <x:f>(RANK.EQ(AD69,$AD$5:$AD$157,1)-1)/(COUNT($AD$5:$AD$157)-1)*100</x:f>
        <x:v>13.815789473684212</x:v>
      </x:c>
      <x:c r="AH69" s="47" t="n">
        <x:f>MAX(0,MIN(100,AG69*'Assumptions'!$B$5+V69*'Assumptions'!$B$6+Y69*'Assumptions'!$B$7+Z69*'Assumptions'!$B$8-(Q69-1)*'Assumptions'!$B$12))</x:f>
        <x:v>57.953947368421055</x:v>
      </x:c>
      <x:c r="AI69" s="51" t="str">
        <x:v>Medium</x:v>
      </x:c>
      <x:c r="AJ69" s="51" t="str">
        <x:v>Standard analyses are partly automated, but reliable evidence, exception handling, and deliverable compliance remain gaps.</x:v>
      </x:c>
      <x:c r="AK69" s="53" t="str">
        <x:f>IF(AND(AH69&gt;=75,V69&gt;=65,Z69&gt;=60),"Build now",IF(AND(AH69&gt;=60,V69&gt;=50),"Validate next",IF(AH69&gt;=50,"Partner or monitor","Deprioritize")))</x:f>
        <x:v>Partner or monitor</x:v>
      </x:c>
      <x:c r="AL69" s="51" t="str">
        <x:v>Production automation is feasible for standard cases with exception routing.</x:v>
      </x:c>
      <x:c r="AM69" s="51" t="str">
        <x:v>/Users/jaibhagat/code/prismml/agents-last-exam/tasks/computing_math/cfr_game_theory_equilibrium/task_card.json</x:v>
      </x:c>
    </x:row>
    <x:row r="70">
      <x:c r="A70" s="40" t="n">
        <x:f>COUNTIF($AH$5:$AH$157,"&gt;"&amp;AH70)+COUNTIF($AH$5:AH70,AH70)</x:f>
        <x:v>66</x:v>
      </x:c>
      <x:c r="B70" s="51" t="str">
        <x:v>engineering/openroad_sky130_ibex_pnr_signoff</x:v>
      </x:c>
      <x:c r="C70" s="51" t="str">
        <x:v>OpenROAD SKY130 Ibex PnR Signoff</x:v>
      </x:c>
      <x:c r="D70" s="51" t="str">
        <x:v>engineering</x:v>
      </x:c>
      <x:c r="E70" s="51" t="str">
        <x:v>Semiconductor &amp; Microelectronics Design</x:v>
      </x:c>
      <x:c r="F70" s="51" t="str">
        <x:v>Document intelligence and compliance</x:v>
      </x:c>
      <x:c r="G70" s="51" t="str">
        <x:v>Specialist engineer</x:v>
      </x:c>
      <x:c r="H70" s="51" t="str">
        <x:v>Professional and related</x:v>
      </x:c>
      <x:c r="I70" s="52" t="n">
        <x:v>1.2</x:v>
      </x:c>
      <x:c r="J70" s="51" t="str">
        <x:v>Report or analytical workbook</x:v>
      </x:c>
      <x:c r="K70" s="43" t="n">
        <x:v>13</x:v>
      </x:c>
      <x:c r="L70" s="43" t="n">
        <x:v>24</x:v>
      </x:c>
      <x:c r="M70" s="43" t="n">
        <x:v>43</x:v>
      </x:c>
      <x:c r="N70" s="43" t="n">
        <x:v>24</x:v>
      </x:c>
      <x:c r="O70" s="44" t="n">
        <x:f>INDEX('Assumptions'!$B$24:$B$29,MATCH(H70,'Assumptions'!$A$24:$A$29,0))*I70</x:f>
        <x:v>87.588</x:v>
      </x:c>
      <x:c r="P70" s="41" t="str">
        <x:v>Critical</x:v>
      </x:c>
      <x:c r="Q70" s="45" t="n">
        <x:f>INDEX('Assumptions'!$B$18:$B$21,MATCH(P70,'Assumptions'!$A$18:$A$21,0))</x:f>
        <x:v>2.2</x:v>
      </x:c>
      <x:c r="R70" s="46" t="n">
        <x:v>0.4</x:v>
      </x:c>
      <x:c r="S70" s="47" t="n">
        <x:f>L70*R70</x:f>
        <x:v>9.600000000000001</x:v>
      </x:c>
      <x:c r="T70" s="48" t="n">
        <x:v>5</x:v>
      </x:c>
      <x:c r="U70" s="41" t="n">
        <x:v>3</x:v>
      </x:c>
      <x:c r="V70" s="41" t="n">
        <x:v>62</x:v>
      </x:c>
      <x:c r="W70" s="49" t="n">
        <x:f>V70/100*'Assumptions'!$B$9</x:f>
        <x:v>0.217</x:v>
      </x:c>
      <x:c r="X70" s="49" t="n">
        <x:f>MIN('Assumptions'!$B$11,V70/100*'Assumptions'!$B$10)</x:f>
        <x:v>0.48360000000000003</x:v>
      </x:c>
      <x:c r="Y70" s="41" t="n">
        <x:v>76</x:v>
      </x:c>
      <x:c r="Z70" s="41" t="n">
        <x:v>57</x:v>
      </x:c>
      <x:c r="AA70" s="50" t="n">
        <x:f>K70*O70*Q70</x:f>
        <x:v>2505.0168000000003</x:v>
      </x:c>
      <x:c r="AB70" s="50" t="n">
        <x:f>L70*O70*Q70</x:f>
        <x:v>4624.6464000000005</x:v>
      </x:c>
      <x:c r="AC70" s="50" t="n">
        <x:f>M70*O70*Q70</x:f>
        <x:v>8285.8248</x:v>
      </x:c>
      <x:c r="AD70" s="50" t="n">
        <x:f>AB70*N70</x:f>
        <x:v>110991.5136</x:v>
      </x:c>
      <x:c r="AE70" s="50" t="n">
        <x:f>MAX(0,N70*(AB70*W70-S70*O70-T70))</x:f>
        <x:v>3784.8832512</x:v>
      </x:c>
      <x:c r="AF70" s="50" t="n">
        <x:f>MAX(0,N70*(AB70*X70-S70*O70-T70))</x:f>
        <x:v>33375.220776960006</x:v>
      </x:c>
      <x:c r="AG70" s="47" t="n">
        <x:f>(RANK.EQ(AD70,$AD$5:$AD$157,1)-1)/(COUNT($AD$5:$AD$157)-1)*100</x:f>
        <x:v>73.02631578947368</x:v>
      </x:c>
      <x:c r="AH70" s="47" t="n">
        <x:f>MAX(0,MIN(100,AG70*'Assumptions'!$B$5+V70*'Assumptions'!$B$6+Y70*'Assumptions'!$B$7+Z70*'Assumptions'!$B$8-(Q70-1)*'Assumptions'!$B$12))</x:f>
        <x:v>57.65657894736842</x:v>
      </x:c>
      <x:c r="AI70" s="51" t="str">
        <x:v>Medium</x:v>
      </x:c>
      <x:c r="AJ70" s="51" t="str">
        <x:v>Organizations need repeatable extraction and evidence workflows across inconsistent source formats.</x:v>
      </x:c>
      <x:c r="AK70" s="53" t="str">
        <x:f>IF(AND(AH70&gt;=75,V70&gt;=65,Z70&gt;=60),"Build now",IF(AND(AH70&gt;=60,V70&gt;=50),"Validate next",IF(AH70&gt;=50,"Partner or monitor","Deprioritize")))</x:f>
        <x:v>Partner or monitor</x:v>
      </x:c>
      <x:c r="AL70" s="51" t="str">
        <x:v>Bounded agents can complete standard cases with mandatory review. Accountable professional signoff remains necessary.</x:v>
      </x:c>
      <x:c r="AM70" s="51" t="str">
        <x:v>/Users/jaibhagat/code/prismml/agents-last-exam/tasks/engineering/openroad_sky130_ibex_pnr_signoff/task_card.json</x:v>
      </x:c>
    </x:row>
    <x:row r="71">
      <x:c r="A71" s="40" t="n">
        <x:f>COUNTIF($AH$5:$AH$157,"&gt;"&amp;AH71)+COUNTIF($AH$5:AH71,AH71)</x:f>
        <x:v>67</x:v>
      </x:c>
      <x:c r="B71" s="51" t="str">
        <x:v>psychology_neuro/celegans_neuron_tracking</x:v>
      </x:c>
      <x:c r="C71" s="51" t="str">
        <x:v>C. elegans Neuron Tracking</x:v>
      </x:c>
      <x:c r="D71" s="51" t="str">
        <x:v>psychology_neuro</x:v>
      </x:c>
      <x:c r="E71" s="51" t="str">
        <x:v>Computational Neuroscience</x:v>
      </x:c>
      <x:c r="F71" s="51" t="str">
        <x:v>Image, signal, or geospatial analysis</x:v>
      </x:c>
      <x:c r="G71" s="51" t="str">
        <x:v>Neuroscience or behavioral-research specialist</x:v>
      </x:c>
      <x:c r="H71" s="51" t="str">
        <x:v>Professional and related</x:v>
      </x:c>
      <x:c r="I71" s="52" t="n">
        <x:v>1.15</x:v>
      </x:c>
      <x:c r="J71" s="51" t="str">
        <x:v>Structured data artifact</x:v>
      </x:c>
      <x:c r="K71" s="43" t="n">
        <x:v>22</x:v>
      </x:c>
      <x:c r="L71" s="43" t="n">
        <x:v>40</x:v>
      </x:c>
      <x:c r="M71" s="43" t="n">
        <x:v>72</x:v>
      </x:c>
      <x:c r="N71" s="43" t="n">
        <x:v>24</x:v>
      </x:c>
      <x:c r="O71" s="44" t="n">
        <x:f>INDEX('Assumptions'!$B$24:$B$29,MATCH(H71,'Assumptions'!$A$24:$A$29,0))*I71</x:f>
        <x:v>83.93849999999999</x:v>
      </x:c>
      <x:c r="P71" s="41" t="str">
        <x:v>Medium</x:v>
      </x:c>
      <x:c r="Q71" s="45" t="n">
        <x:f>INDEX('Assumptions'!$B$18:$B$21,MATCH(P71,'Assumptions'!$A$18:$A$21,0))</x:f>
        <x:v>1.25</x:v>
      </x:c>
      <x:c r="R71" s="46" t="n">
        <x:v>0.18</x:v>
      </x:c>
      <x:c r="S71" s="47" t="n">
        <x:f>L71*R71</x:f>
        <x:v>7.199999999999999</x:v>
      </x:c>
      <x:c r="T71" s="48" t="n">
        <x:v>35</x:v>
      </x:c>
      <x:c r="U71" s="41" t="n">
        <x:v>4</x:v>
      </x:c>
      <x:c r="V71" s="41" t="n">
        <x:v>44</x:v>
      </x:c>
      <x:c r="W71" s="49" t="n">
        <x:f>V71/100*'Assumptions'!$B$9</x:f>
        <x:v>0.154</x:v>
      </x:c>
      <x:c r="X71" s="49" t="n">
        <x:f>MIN('Assumptions'!$B$11,V71/100*'Assumptions'!$B$10)</x:f>
        <x:v>0.3432</x:v>
      </x:c>
      <x:c r="Y71" s="41" t="n">
        <x:v>72</x:v>
      </x:c>
      <x:c r="Z71" s="41" t="n">
        <x:v>62</x:v>
      </x:c>
      <x:c r="AA71" s="50" t="n">
        <x:f>K71*O71*Q71</x:f>
        <x:v>2308.3087499999997</x:v>
      </x:c>
      <x:c r="AB71" s="50" t="n">
        <x:f>L71*O71*Q71</x:f>
        <x:v>4196.924999999999</x:v>
      </x:c>
      <x:c r="AC71" s="50" t="n">
        <x:f>M71*O71*Q71</x:f>
        <x:v>7554.464999999999</x:v>
      </x:c>
      <x:c r="AD71" s="50" t="n">
        <x:f>AB71*N71</x:f>
        <x:v>100726.19999999998</x:v>
      </x:c>
      <x:c r="AE71" s="50" t="n">
        <x:f>MAX(0,N71*(AB71*W71-S71*O71-T71))</x:f>
        <x:v>167.26199999999972</x:v>
      </x:c>
      <x:c r="AF71" s="50" t="n">
        <x:f>MAX(0,N71*(AB71*X71-S71*O71-T71))</x:f>
        <x:v>19224.659039999995</x:v>
      </x:c>
      <x:c r="AG71" s="47" t="n">
        <x:f>(RANK.EQ(AD71,$AD$5:$AD$157,1)-1)/(COUNT($AD$5:$AD$157)-1)*100</x:f>
        <x:v>63.81578947368421</x:v>
      </x:c>
      <x:c r="AH71" s="47" t="n">
        <x:f>MAX(0,MIN(100,AG71*'Assumptions'!$B$5+V71*'Assumptions'!$B$6+Y71*'Assumptions'!$B$7+Z71*'Assumptions'!$B$8-(Q71-1)*'Assumptions'!$B$12))</x:f>
        <x:v>57.55394736842105</x:v>
      </x:c>
      <x:c r="AI71" s="51" t="str">
        <x:v>Low</x:v>
      </x:c>
      <x:c r="AJ71" s="51" t="str">
        <x:v>Niche image and signal workflows remain fragmented across specialist tools and manual QA.</x:v>
      </x:c>
      <x:c r="AK71" s="53" t="str">
        <x:f>IF(AND(AH71&gt;=75,V71&gt;=65,Z71&gt;=60),"Build now",IF(AND(AH71&gt;=60,V71&gt;=50),"Validate next",IF(AH71&gt;=50,"Partner or monitor","Deprioritize")))</x:f>
        <x:v>Partner or monitor</x:v>
      </x:c>
      <x:c r="AL71" s="51" t="str">
        <x:v>Production automation is feasible for standard cases with exception routing.</x:v>
      </x:c>
      <x:c r="AM71" s="51" t="str">
        <x:v>/Users/jaibhagat/code/prismml/agents-last-exam/tasks/psychology_neuro/celegans_neuron_tracking/task_card.json</x:v>
      </x:c>
    </x:row>
    <x:row r="72">
      <x:c r="A72" s="40" t="n">
        <x:f>COUNTIF($AH$5:$AH$157,"&gt;"&amp;AH72)+COUNTIF($AH$5:AH72,AH72)</x:f>
        <x:v>68</x:v>
      </x:c>
      <x:c r="B72" s="51" t="str">
        <x:v>health_medicine/limited_angle_ct_dps_reconstruction</x:v>
      </x:c>
      <x:c r="C72" s="51" t="str">
        <x:v>Limited-Angle CT Reconstruction With DPS</x:v>
      </x:c>
      <x:c r="D72" s="51" t="str">
        <x:v>health_medicine</x:v>
      </x:c>
      <x:c r="E72" s="51" t="str">
        <x:v>Clinical Diagnostics &amp; Imaging</x:v>
      </x:c>
      <x:c r="F72" s="51" t="str">
        <x:v>Image, signal, or geospatial analysis</x:v>
      </x:c>
      <x:c r="G72" s="51" t="str">
        <x:v>Clinical data scientist or medical specialist</x:v>
      </x:c>
      <x:c r="H72" s="51" t="str">
        <x:v>Professional and related</x:v>
      </x:c>
      <x:c r="I72" s="52" t="n">
        <x:v>1.3</x:v>
      </x:c>
      <x:c r="J72" s="51" t="str">
        <x:v>Structured data artifact</x:v>
      </x:c>
      <x:c r="K72" s="43" t="n">
        <x:v>22</x:v>
      </x:c>
      <x:c r="L72" s="43" t="n">
        <x:v>40</x:v>
      </x:c>
      <x:c r="M72" s="43" t="n">
        <x:v>72</x:v>
      </x:c>
      <x:c r="N72" s="43" t="n">
        <x:v>24</x:v>
      </x:c>
      <x:c r="O72" s="44" t="n">
        <x:f>INDEX('Assumptions'!$B$24:$B$29,MATCH(H72,'Assumptions'!$A$24:$A$29,0))*I72</x:f>
        <x:v>94.887</x:v>
      </x:c>
      <x:c r="P72" s="41" t="str">
        <x:v>High</x:v>
      </x:c>
      <x:c r="Q72" s="45" t="n">
        <x:f>INDEX('Assumptions'!$B$18:$B$21,MATCH(P72,'Assumptions'!$A$18:$A$21,0))</x:f>
        <x:v>1.6</x:v>
      </x:c>
      <x:c r="R72" s="46" t="n">
        <x:v>0.28</x:v>
      </x:c>
      <x:c r="S72" s="47" t="n">
        <x:f>L72*R72</x:f>
        <x:v>11.200000000000001</x:v>
      </x:c>
      <x:c r="T72" s="48" t="n">
        <x:v>35</x:v>
      </x:c>
      <x:c r="U72" s="41" t="n">
        <x:v>4</x:v>
      </x:c>
      <x:c r="V72" s="41" t="n">
        <x:v>44</x:v>
      </x:c>
      <x:c r="W72" s="49" t="n">
        <x:f>V72/100*'Assumptions'!$B$9</x:f>
        <x:v>0.154</x:v>
      </x:c>
      <x:c r="X72" s="49" t="n">
        <x:f>MIN('Assumptions'!$B$11,V72/100*'Assumptions'!$B$10)</x:f>
        <x:v>0.3432</x:v>
      </x:c>
      <x:c r="Y72" s="41" t="n">
        <x:v>72</x:v>
      </x:c>
      <x:c r="Z72" s="41" t="n">
        <x:v>54</x:v>
      </x:c>
      <x:c r="AA72" s="50" t="n">
        <x:f>K72*O72*Q72</x:f>
        <x:v>3340.0224000000003</x:v>
      </x:c>
      <x:c r="AB72" s="50" t="n">
        <x:f>L72*O72*Q72</x:f>
        <x:v>6072.768</x:v>
      </x:c>
      <x:c r="AC72" s="50" t="n">
        <x:f>M72*O72*Q72</x:f>
        <x:v>10930.9824</x:v>
      </x:c>
      <x:c r="AD72" s="50" t="n">
        <x:f>AB72*N72</x:f>
        <x:v>145746.432</x:v>
      </x:c>
      <x:c r="AE72" s="50" t="n">
        <x:f>MAX(0,N72*(AB72*W72-S72*O72-T72))</x:f>
        <x:v>0</x:v>
      </x:c>
      <x:c r="AF72" s="50" t="n">
        <x:f>MAX(0,N72*(AB72*X72-S72*O72-T72))</x:f>
        <x:v>23674.549862399996</x:v>
      </x:c>
      <x:c r="AG72" s="47" t="n">
        <x:f>(RANK.EQ(AD72,$AD$5:$AD$157,1)-1)/(COUNT($AD$5:$AD$157)-1)*100</x:f>
        <x:v>79.60526315789474</x:v>
      </x:c>
      <x:c r="AH72" s="47" t="n">
        <x:f>MAX(0,MIN(100,AG72*'Assumptions'!$B$5+V72*'Assumptions'!$B$6+Y72*'Assumptions'!$B$7+Z72*'Assumptions'!$B$8-(Q72-1)*'Assumptions'!$B$12))</x:f>
        <x:v>57.10131578947369</x:v>
      </x:c>
      <x:c r="AI72" s="51" t="str">
        <x:v>Low</x:v>
      </x:c>
      <x:c r="AJ72" s="51" t="str">
        <x:v>Niche image and signal workflows remain fragmented across specialist tools and manual QA.</x:v>
      </x:c>
      <x:c r="AK72" s="53" t="str">
        <x:f>IF(AND(AH72&gt;=75,V72&gt;=65,Z72&gt;=60),"Build now",IF(AND(AH72&gt;=60,V72&gt;=50),"Validate next",IF(AH72&gt;=50,"Partner or monitor","Deprioritize")))</x:f>
        <x:v>Partner or monitor</x:v>
      </x:c>
      <x:c r="AL72" s="51" t="str">
        <x:v>Production automation is feasible for standard cases with exception routing.</x:v>
      </x:c>
      <x:c r="AM72" s="51" t="str">
        <x:v>/Users/jaibhagat/code/prismml/agents-last-exam/tasks/health_medicine/limited_angle_ct_dps_reconstruction/task_card.json</x:v>
      </x:c>
    </x:row>
    <x:row r="73">
      <x:c r="A73" s="40" t="n">
        <x:f>COUNTIF($AH$5:$AH$157,"&gt;"&amp;AH73)+COUNTIF($AH$5:AH73,AH73)</x:f>
        <x:v>69</x:v>
      </x:c>
      <x:c r="B73" s="51" t="str">
        <x:v>engineering/sanding_performance_scoring_instance_1</x:v>
      </x:c>
      <x:c r="C73" s="51" t="str">
        <x:v>Sanding Performance Image Scoring</x:v>
      </x:c>
      <x:c r="D73" s="51" t="str">
        <x:v>engineering</x:v>
      </x:c>
      <x:c r="E73" s="51" t="str">
        <x:v>Manufacturing &amp; Industrial Systems</x:v>
      </x:c>
      <x:c r="F73" s="51" t="str">
        <x:v>Image, signal, or geospatial analysis</x:v>
      </x:c>
      <x:c r="G73" s="51" t="str">
        <x:v>Specialist engineer</x:v>
      </x:c>
      <x:c r="H73" s="51" t="str">
        <x:v>Professional and related</x:v>
      </x:c>
      <x:c r="I73" s="52" t="n">
        <x:v>1.2</x:v>
      </x:c>
      <x:c r="J73" s="51" t="str">
        <x:v>Structured data artifact</x:v>
      </x:c>
      <x:c r="K73" s="43" t="n">
        <x:v>22</x:v>
      </x:c>
      <x:c r="L73" s="43" t="n">
        <x:v>40</x:v>
      </x:c>
      <x:c r="M73" s="43" t="n">
        <x:v>72</x:v>
      </x:c>
      <x:c r="N73" s="43" t="n">
        <x:v>24</x:v>
      </x:c>
      <x:c r="O73" s="44" t="n">
        <x:f>INDEX('Assumptions'!$B$24:$B$29,MATCH(H73,'Assumptions'!$A$24:$A$29,0))*I73</x:f>
        <x:v>87.588</x:v>
      </x:c>
      <x:c r="P73" s="41" t="str">
        <x:v>High</x:v>
      </x:c>
      <x:c r="Q73" s="45" t="n">
        <x:f>INDEX('Assumptions'!$B$18:$B$21,MATCH(P73,'Assumptions'!$A$18:$A$21,0))</x:f>
        <x:v>1.6</x:v>
      </x:c>
      <x:c r="R73" s="46" t="n">
        <x:v>0.28</x:v>
      </x:c>
      <x:c r="S73" s="47" t="n">
        <x:f>L73*R73</x:f>
        <x:v>11.200000000000001</x:v>
      </x:c>
      <x:c r="T73" s="48" t="n">
        <x:v>35</x:v>
      </x:c>
      <x:c r="U73" s="41" t="n">
        <x:v>4</x:v>
      </x:c>
      <x:c r="V73" s="41" t="n">
        <x:v>44</x:v>
      </x:c>
      <x:c r="W73" s="49" t="n">
        <x:f>V73/100*'Assumptions'!$B$9</x:f>
        <x:v>0.154</x:v>
      </x:c>
      <x:c r="X73" s="49" t="n">
        <x:f>MIN('Assumptions'!$B$11,V73/100*'Assumptions'!$B$10)</x:f>
        <x:v>0.3432</x:v>
      </x:c>
      <x:c r="Y73" s="41" t="n">
        <x:v>72</x:v>
      </x:c>
      <x:c r="Z73" s="41" t="n">
        <x:v>54</x:v>
      </x:c>
      <x:c r="AA73" s="50" t="n">
        <x:f>K73*O73*Q73</x:f>
        <x:v>3083.0976</x:v>
      </x:c>
      <x:c r="AB73" s="50" t="n">
        <x:f>L73*O73*Q73</x:f>
        <x:v>5605.632</x:v>
      </x:c>
      <x:c r="AC73" s="50" t="n">
        <x:f>M73*O73*Q73</x:f>
        <x:v>10090.1376</x:v>
      </x:c>
      <x:c r="AD73" s="50" t="n">
        <x:f>AB73*N73</x:f>
        <x:v>134535.168</x:v>
      </x:c>
      <x:c r="AE73" s="50" t="n">
        <x:f>MAX(0,N73*(AB73*W73-S73*O73-T73))</x:f>
        <x:v>0</x:v>
      </x:c>
      <x:c r="AF73" s="50" t="n">
        <x:f>MAX(0,N73*(AB73*X73-S73*O73-T73))</x:f>
        <x:v>21788.8152576</x:v>
      </x:c>
      <x:c r="AG73" s="47" t="n">
        <x:f>(RANK.EQ(AD73,$AD$5:$AD$157,1)-1)/(COUNT($AD$5:$AD$157)-1)*100</x:f>
        <x:v>77.63157894736842</x:v>
      </x:c>
      <x:c r="AH73" s="47" t="n">
        <x:f>MAX(0,MIN(100,AG73*'Assumptions'!$B$5+V73*'Assumptions'!$B$6+Y73*'Assumptions'!$B$7+Z73*'Assumptions'!$B$8-(Q73-1)*'Assumptions'!$B$12))</x:f>
        <x:v>56.60789473684211</x:v>
      </x:c>
      <x:c r="AI73" s="51" t="str">
        <x:v>Low</x:v>
      </x:c>
      <x:c r="AJ73" s="51" t="str">
        <x:v>Niche image and signal workflows remain fragmented across specialist tools and manual QA.</x:v>
      </x:c>
      <x:c r="AK73" s="53" t="str">
        <x:f>IF(AND(AH73&gt;=75,V73&gt;=65,Z73&gt;=60),"Build now",IF(AND(AH73&gt;=60,V73&gt;=50),"Validate next",IF(AH73&gt;=50,"Partner or monitor","Deprioritize")))</x:f>
        <x:v>Partner or monitor</x:v>
      </x:c>
      <x:c r="AL73" s="51" t="str">
        <x:v>Production automation is feasible for standard cases with exception routing.</x:v>
      </x:c>
      <x:c r="AM73" s="51" t="str">
        <x:v>/Users/jaibhagat/code/prismml/agents-last-exam/tasks/engineering/sanding_performance_scoring_instance_1/task_card.json</x:v>
      </x:c>
    </x:row>
    <x:row r="74">
      <x:c r="A74" s="40" t="n">
        <x:f>COUNTIF($AH$5:$AH$157,"&gt;"&amp;AH74)+COUNTIF($AH$5:AH74,AH74)</x:f>
        <x:v>70</x:v>
      </x:c>
      <x:c r="B74" s="51" t="str">
        <x:v>engineering/power_10kv_feeder_reliability_001</x:v>
      </x:c>
      <x:c r="C74" s="51" t="str">
        <x:v>10kV Feeder Reliability Indices</x:v>
      </x:c>
      <x:c r="D74" s="51" t="str">
        <x:v>engineering</x:v>
      </x:c>
      <x:c r="E74" s="51" t="str">
        <x:v>Energy, Power &amp; Nuclear Engineering</x:v>
      </x:c>
      <x:c r="F74" s="51" t="str">
        <x:v>Structured analysis and decision support</x:v>
      </x:c>
      <x:c r="G74" s="51" t="str">
        <x:v>Specialist engineer</x:v>
      </x:c>
      <x:c r="H74" s="51" t="str">
        <x:v>Professional and related</x:v>
      </x:c>
      <x:c r="I74" s="52" t="n">
        <x:v>1.2</x:v>
      </x:c>
      <x:c r="J74" s="51" t="str">
        <x:v>Structured data artifact</x:v>
      </x:c>
      <x:c r="K74" s="43" t="n">
        <x:v>18</x:v>
      </x:c>
      <x:c r="L74" s="43" t="n">
        <x:v>32</x:v>
      </x:c>
      <x:c r="M74" s="43" t="n">
        <x:v>58</x:v>
      </x:c>
      <x:c r="N74" s="43" t="n">
        <x:v>18</x:v>
      </x:c>
      <x:c r="O74" s="44" t="n">
        <x:f>INDEX('Assumptions'!$B$24:$B$29,MATCH(H74,'Assumptions'!$A$24:$A$29,0))*I74</x:f>
        <x:v>87.588</x:v>
      </x:c>
      <x:c r="P74" s="41" t="str">
        <x:v>Critical</x:v>
      </x:c>
      <x:c r="Q74" s="45" t="n">
        <x:f>INDEX('Assumptions'!$B$18:$B$21,MATCH(P74,'Assumptions'!$A$18:$A$21,0))</x:f>
        <x:v>2.2</x:v>
      </x:c>
      <x:c r="R74" s="46" t="n">
        <x:v>0.4</x:v>
      </x:c>
      <x:c r="S74" s="47" t="n">
        <x:f>L74*R74</x:f>
        <x:v>12.8</x:v>
      </x:c>
      <x:c r="T74" s="48" t="n">
        <x:v>15</x:v>
      </x:c>
      <x:c r="U74" s="41" t="n">
        <x:v>3</x:v>
      </x:c>
      <x:c r="V74" s="41" t="n">
        <x:v>64</x:v>
      </x:c>
      <x:c r="W74" s="49" t="n">
        <x:f>V74/100*'Assumptions'!$B$9</x:f>
        <x:v>0.22399999999999998</x:v>
      </x:c>
      <x:c r="X74" s="49" t="n">
        <x:f>MIN('Assumptions'!$B$11,V74/100*'Assumptions'!$B$10)</x:f>
        <x:v>0.49920000000000003</x:v>
      </x:c>
      <x:c r="Y74" s="41" t="n">
        <x:v>66</x:v>
      </x:c>
      <x:c r="Z74" s="41" t="n">
        <x:v>59</x:v>
      </x:c>
      <x:c r="AA74" s="50" t="n">
        <x:f>K74*O74*Q74</x:f>
        <x:v>3468.4847999999997</x:v>
      </x:c>
      <x:c r="AB74" s="50" t="n">
        <x:f>L74*O74*Q74</x:f>
        <x:v>6166.1952</x:v>
      </x:c>
      <x:c r="AC74" s="50" t="n">
        <x:f>M74*O74*Q74</x:f>
        <x:v>11176.228799999999</x:v>
      </x:c>
      <x:c r="AD74" s="50" t="n">
        <x:f>AB74*N74</x:f>
        <x:v>110991.5136</x:v>
      </x:c>
      <x:c r="AE74" s="50" t="n">
        <x:f>MAX(0,N74*(AB74*W74-S74*O74-T74))</x:f>
        <x:v>4411.823846399999</x:v>
      </x:c>
      <x:c r="AF74" s="50" t="n">
        <x:f>MAX(0,N74*(AB74*X74-S74*O74-T74))</x:f>
        <x:v>34956.688389120005</x:v>
      </x:c>
      <x:c r="AG74" s="47" t="n">
        <x:f>(RANK.EQ(AD74,$AD$5:$AD$157,1)-1)/(COUNT($AD$5:$AD$157)-1)*100</x:f>
        <x:v>73.02631578947368</x:v>
      </x:c>
      <x:c r="AH74" s="47" t="n">
        <x:f>MAX(0,MIN(100,AG74*'Assumptions'!$B$5+V74*'Assumptions'!$B$6+Y74*'Assumptions'!$B$7+Z74*'Assumptions'!$B$8-(Q74-1)*'Assumptions'!$B$12))</x:f>
        <x:v>56.15657894736842</x:v>
      </x:c>
      <x:c r="AI74" s="51" t="str">
        <x:v>Medium</x:v>
      </x:c>
      <x:c r="AJ74" s="51" t="str">
        <x:v>Standard analyses are partly automated, but reliable evidence, exception handling, and deliverable compliance remain gaps.</x:v>
      </x:c>
      <x:c r="AK74" s="53" t="str">
        <x:f>IF(AND(AH74&gt;=75,V74&gt;=65,Z74&gt;=60),"Build now",IF(AND(AH74&gt;=60,V74&gt;=50),"Validate next",IF(AH74&gt;=50,"Partner or monitor","Deprioritize")))</x:f>
        <x:v>Partner or monitor</x:v>
      </x:c>
      <x:c r="AL74" s="51" t="str">
        <x:v>Bounded agents can complete standard cases with mandatory review. Accountable professional signoff remains necessary.</x:v>
      </x:c>
      <x:c r="AM74" s="51" t="str">
        <x:v>/Users/jaibhagat/code/prismml/agents-last-exam/tasks/engineering/power_10kv_feeder_reliability_001/task_card.json</x:v>
      </x:c>
    </x:row>
    <x:row r="75">
      <x:c r="A75" s="40" t="n">
        <x:f>COUNTIF($AH$5:$AH$157,"&gt;"&amp;AH75)+COUNTIF($AH$5:AH75,AH75)</x:f>
        <x:v>73</x:v>
      </x:c>
      <x:c r="B75" s="51" t="str">
        <x:v>health_medicine/ltmle_targeted_bootstrap_simulation_study</x:v>
      </x:c>
      <x:c r="C75" s="51" t="str">
        <x:v>LTMLE Targeted Bootstrap Simulation Study</x:v>
      </x:c>
      <x:c r="D75" s="51" t="str">
        <x:v>health_medicine</x:v>
      </x:c>
      <x:c r="E75" s="51" t="str">
        <x:v>Economics &amp; Quantitative Social Research</x:v>
      </x:c>
      <x:c r="F75" s="51" t="str">
        <x:v>Scientific modeling and computation</x:v>
      </x:c>
      <x:c r="G75" s="51" t="str">
        <x:v>Clinical data scientist or medical specialist</x:v>
      </x:c>
      <x:c r="H75" s="51" t="str">
        <x:v>Professional and related</x:v>
      </x:c>
      <x:c r="I75" s="52" t="n">
        <x:v>1.3</x:v>
      </x:c>
      <x:c r="J75" s="51" t="str">
        <x:v>Structured data artifact</x:v>
      </x:c>
      <x:c r="K75" s="43" t="n">
        <x:v>66</x:v>
      </x:c>
      <x:c r="L75" s="43" t="n">
        <x:v>120</x:v>
      </x:c>
      <x:c r="M75" s="43" t="n">
        <x:v>216</x:v>
      </x:c>
      <x:c r="N75" s="43" t="n">
        <x:v>6</x:v>
      </x:c>
      <x:c r="O75" s="44" t="n">
        <x:f>INDEX('Assumptions'!$B$24:$B$29,MATCH(H75,'Assumptions'!$A$24:$A$29,0))*I75</x:f>
        <x:v>94.887</x:v>
      </x:c>
      <x:c r="P75" s="41" t="str">
        <x:v>High</x:v>
      </x:c>
      <x:c r="Q75" s="45" t="n">
        <x:f>INDEX('Assumptions'!$B$18:$B$21,MATCH(P75,'Assumptions'!$A$18:$A$21,0))</x:f>
        <x:v>1.6</x:v>
      </x:c>
      <x:c r="R75" s="46" t="n">
        <x:v>0.28</x:v>
      </x:c>
      <x:c r="S75" s="47" t="n">
        <x:f>L75*R75</x:f>
        <x:v>33.6</x:v>
      </x:c>
      <x:c r="T75" s="48" t="n">
        <x:v>100</x:v>
      </x:c>
      <x:c r="U75" s="41" t="n">
        <x:v>3</x:v>
      </x:c>
      <x:c r="V75" s="41" t="n">
        <x:v>50</x:v>
      </x:c>
      <x:c r="W75" s="49" t="n">
        <x:f>V75/100*'Assumptions'!$B$9</x:f>
        <x:v>0.175</x:v>
      </x:c>
      <x:c r="X75" s="49" t="n">
        <x:f>MIN('Assumptions'!$B$11,V75/100*'Assumptions'!$B$10)</x:f>
        <x:v>0.39</x:v>
      </x:c>
      <x:c r="Y75" s="41" t="n">
        <x:v>76</x:v>
      </x:c>
      <x:c r="Z75" s="41" t="n">
        <x:v>50</x:v>
      </x:c>
      <x:c r="AA75" s="50" t="n">
        <x:f>K75*O75*Q75</x:f>
        <x:v>10020.067200000001</x:v>
      </x:c>
      <x:c r="AB75" s="50" t="n">
        <x:f>L75*O75*Q75</x:f>
        <x:v>18218.304</x:v>
      </x:c>
      <x:c r="AC75" s="50" t="n">
        <x:f>M75*O75*Q75</x:f>
        <x:v>32792.9472</x:v>
      </x:c>
      <x:c r="AD75" s="50" t="n">
        <x:f>AB75*N75</x:f>
        <x:v>109309.824</x:v>
      </x:c>
      <x:c r="AE75" s="50" t="n">
        <x:f>MAX(0,N75*(AB75*W75-S75*O75-T75))</x:f>
        <x:v>0</x:v>
      </x:c>
      <x:c r="AF75" s="50" t="n">
        <x:f>MAX(0,N75*(AB75*X75-S75*O75-T75))</x:f>
        <x:v>22901.612160000004</x:v>
      </x:c>
      <x:c r="AG75" s="47" t="n">
        <x:f>(RANK.EQ(AD75,$AD$5:$AD$157,1)-1)/(COUNT($AD$5:$AD$157)-1)*100</x:f>
        <x:v>67.10526315789474</x:v>
      </x:c>
      <x:c r="AH75" s="47" t="n">
        <x:f>MAX(0,MIN(100,AG75*'Assumptions'!$B$5+V75*'Assumptions'!$B$6+Y75*'Assumptions'!$B$7+Z75*'Assumptions'!$B$8-(Q75-1)*'Assumptions'!$B$12))</x:f>
        <x:v>55.97631578947369</x:v>
      </x:c>
      <x:c r="AI75" s="51" t="str">
        <x:v>Low</x:v>
      </x:c>
      <x:c r="AJ75" s="51" t="str">
        <x:v>Specialists lack agents that can operate domain tools, preserve provenance, and reproduce results.</x:v>
      </x:c>
      <x:c r="AK75" s="53" t="str">
        <x:f>IF(AND(AH75&gt;=75,V75&gt;=65,Z75&gt;=60),"Build now",IF(AND(AH75&gt;=60,V75&gt;=50),"Validate next",IF(AH75&gt;=50,"Partner or monitor","Deprioritize")))</x:f>
        <x:v>Partner or monitor</x:v>
      </x:c>
      <x:c r="AL75" s="51" t="str">
        <x:v>Bounded agents can complete standard cases with mandatory review.</x:v>
      </x:c>
      <x:c r="AM75" s="51" t="str">
        <x:v>/Users/jaibhagat/code/prismml/agents-last-exam/tasks/health_medicine/ltmle_targeted_bootstrap_simulation_study/task_card.json</x:v>
      </x:c>
    </x:row>
    <x:row r="76">
      <x:c r="A76" s="40" t="n">
        <x:f>COUNTIF($AH$5:$AH$157,"&gt;"&amp;AH76)+COUNTIF($AH$5:AH76,AH76)</x:f>
        <x:v>71</x:v>
      </x:c>
      <x:c r="B76" s="51" t="str">
        <x:v>health_medicine/ct_geometry_calibration_catphan</x:v>
      </x:c>
      <x:c r="C76" s="51" t="str">
        <x:v>CT Geometry Calibration (Catphan Phantom)</x:v>
      </x:c>
      <x:c r="D76" s="51" t="str">
        <x:v>health_medicine</x:v>
      </x:c>
      <x:c r="E76" s="51" t="str">
        <x:v>Clinical Diagnostics &amp; Imaging</x:v>
      </x:c>
      <x:c r="F76" s="51" t="str">
        <x:v>Image, signal, or geospatial analysis</x:v>
      </x:c>
      <x:c r="G76" s="51" t="str">
        <x:v>Clinical data scientist or medical specialist</x:v>
      </x:c>
      <x:c r="H76" s="51" t="str">
        <x:v>Professional and related</x:v>
      </x:c>
      <x:c r="I76" s="52" t="n">
        <x:v>1.3</x:v>
      </x:c>
      <x:c r="J76" s="51" t="str">
        <x:v>Structured data artifact</x:v>
      </x:c>
      <x:c r="K76" s="43" t="n">
        <x:v>22</x:v>
      </x:c>
      <x:c r="L76" s="43" t="n">
        <x:v>40</x:v>
      </x:c>
      <x:c r="M76" s="43" t="n">
        <x:v>72</x:v>
      </x:c>
      <x:c r="N76" s="43" t="n">
        <x:v>24</x:v>
      </x:c>
      <x:c r="O76" s="44" t="n">
        <x:f>INDEX('Assumptions'!$B$24:$B$29,MATCH(H76,'Assumptions'!$A$24:$A$29,0))*I76</x:f>
        <x:v>94.887</x:v>
      </x:c>
      <x:c r="P76" s="41" t="str">
        <x:v>High</x:v>
      </x:c>
      <x:c r="Q76" s="45" t="n">
        <x:f>INDEX('Assumptions'!$B$18:$B$21,MATCH(P76,'Assumptions'!$A$18:$A$21,0))</x:f>
        <x:v>1.6</x:v>
      </x:c>
      <x:c r="R76" s="46" t="n">
        <x:v>0.28</x:v>
      </x:c>
      <x:c r="S76" s="47" t="n">
        <x:f>L76*R76</x:f>
        <x:v>11.200000000000001</x:v>
      </x:c>
      <x:c r="T76" s="48" t="n">
        <x:v>35</x:v>
      </x:c>
      <x:c r="U76" s="41" t="n">
        <x:v>4</x:v>
      </x:c>
      <x:c r="V76" s="41" t="n">
        <x:v>44</x:v>
      </x:c>
      <x:c r="W76" s="49" t="n">
        <x:f>V76/100*'Assumptions'!$B$9</x:f>
        <x:v>0.154</x:v>
      </x:c>
      <x:c r="X76" s="49" t="n">
        <x:f>MIN('Assumptions'!$B$11,V76/100*'Assumptions'!$B$10)</x:f>
        <x:v>0.3432</x:v>
      </x:c>
      <x:c r="Y76" s="41" t="n">
        <x:v>72</x:v>
      </x:c>
      <x:c r="Z76" s="41" t="n">
        <x:v>49</x:v>
      </x:c>
      <x:c r="AA76" s="50" t="n">
        <x:f>K76*O76*Q76</x:f>
        <x:v>3340.0224000000003</x:v>
      </x:c>
      <x:c r="AB76" s="50" t="n">
        <x:f>L76*O76*Q76</x:f>
        <x:v>6072.768</x:v>
      </x:c>
      <x:c r="AC76" s="50" t="n">
        <x:f>M76*O76*Q76</x:f>
        <x:v>10930.9824</x:v>
      </x:c>
      <x:c r="AD76" s="50" t="n">
        <x:f>AB76*N76</x:f>
        <x:v>145746.432</x:v>
      </x:c>
      <x:c r="AE76" s="50" t="n">
        <x:f>MAX(0,N76*(AB76*W76-S76*O76-T76))</x:f>
        <x:v>0</x:v>
      </x:c>
      <x:c r="AF76" s="50" t="n">
        <x:f>MAX(0,N76*(AB76*X76-S76*O76-T76))</x:f>
        <x:v>23674.549862399996</x:v>
      </x:c>
      <x:c r="AG76" s="47" t="n">
        <x:f>(RANK.EQ(AD76,$AD$5:$AD$157,1)-1)/(COUNT($AD$5:$AD$157)-1)*100</x:f>
        <x:v>79.60526315789474</x:v>
      </x:c>
      <x:c r="AH76" s="47" t="n">
        <x:f>MAX(0,MIN(100,AG76*'Assumptions'!$B$5+V76*'Assumptions'!$B$6+Y76*'Assumptions'!$B$7+Z76*'Assumptions'!$B$8-(Q76-1)*'Assumptions'!$B$12))</x:f>
        <x:v>56.10131578947369</x:v>
      </x:c>
      <x:c r="AI76" s="51" t="str">
        <x:v>Low</x:v>
      </x:c>
      <x:c r="AJ76" s="51" t="str">
        <x:v>Niche image and signal workflows remain fragmented across specialist tools and manual QA.</x:v>
      </x:c>
      <x:c r="AK76" s="53" t="str">
        <x:f>IF(AND(AH76&gt;=75,V76&gt;=65,Z76&gt;=60),"Build now",IF(AND(AH76&gt;=60,V76&gt;=50),"Validate next",IF(AH76&gt;=50,"Partner or monitor","Deprioritize")))</x:f>
        <x:v>Partner or monitor</x:v>
      </x:c>
      <x:c r="AL76" s="51" t="str">
        <x:v>Production automation is feasible for standard cases with exception routing.</x:v>
      </x:c>
      <x:c r="AM76" s="51" t="str">
        <x:v>/Users/jaibhagat/code/prismml/agents-last-exam/tasks/health_medicine/ct_geometry_calibration_catphan/task_card.json</x:v>
      </x:c>
    </x:row>
    <x:row r="77">
      <x:c r="A77" s="40" t="n">
        <x:f>COUNTIF($AH$5:$AH$157,"&gt;"&amp;AH77)+COUNTIF($AH$5:AH77,AH77)</x:f>
        <x:v>72</x:v>
      </x:c>
      <x:c r="B77" s="51" t="str">
        <x:v>health_medicine/sa_aki_phenotyping</x:v>
      </x:c>
      <x:c r="C77" s="51" t="str">
        <x:v>Sepsis-Associated AKI Phenotyping</x:v>
      </x:c>
      <x:c r="D77" s="51" t="str">
        <x:v>health_medicine</x:v>
      </x:c>
      <x:c r="E77" s="51" t="str">
        <x:v>Clinical Informatics &amp; Care Operations</x:v>
      </x:c>
      <x:c r="F77" s="51" t="str">
        <x:v>Scientific modeling and computation</x:v>
      </x:c>
      <x:c r="G77" s="51" t="str">
        <x:v>Clinical data scientist or medical specialist</x:v>
      </x:c>
      <x:c r="H77" s="51" t="str">
        <x:v>Professional and related</x:v>
      </x:c>
      <x:c r="I77" s="52" t="n">
        <x:v>1.3</x:v>
      </x:c>
      <x:c r="J77" s="51" t="str">
        <x:v>Structured data artifact</x:v>
      </x:c>
      <x:c r="K77" s="43" t="n">
        <x:v>44</x:v>
      </x:c>
      <x:c r="L77" s="43" t="n">
        <x:v>80</x:v>
      </x:c>
      <x:c r="M77" s="43" t="n">
        <x:v>144</x:v>
      </x:c>
      <x:c r="N77" s="43" t="n">
        <x:v>100</x:v>
      </x:c>
      <x:c r="O77" s="44" t="n">
        <x:f>INDEX('Assumptions'!$B$24:$B$29,MATCH(H77,'Assumptions'!$A$24:$A$29,0))*I77</x:f>
        <x:v>94.887</x:v>
      </x:c>
      <x:c r="P77" s="41" t="str">
        <x:v>Critical</x:v>
      </x:c>
      <x:c r="Q77" s="45" t="n">
        <x:f>INDEX('Assumptions'!$B$18:$B$21,MATCH(P77,'Assumptions'!$A$18:$A$21,0))</x:f>
        <x:v>2.2</x:v>
      </x:c>
      <x:c r="R77" s="46" t="n">
        <x:v>0.4</x:v>
      </x:c>
      <x:c r="S77" s="47" t="n">
        <x:f>L77*R77</x:f>
        <x:v>32</x:v>
      </x:c>
      <x:c r="T77" s="48" t="n">
        <x:v>100</x:v>
      </x:c>
      <x:c r="U77" s="41" t="n">
        <x:v>2</x:v>
      </x:c>
      <x:c r="V77" s="41" t="n">
        <x:v>40</x:v>
      </x:c>
      <x:c r="W77" s="49" t="n">
        <x:f>V77/100*'Assumptions'!$B$9</x:f>
        <x:v>0.13999999999999999</x:v>
      </x:c>
      <x:c r="X77" s="49" t="n">
        <x:f>MIN('Assumptions'!$B$11,V77/100*'Assumptions'!$B$10)</x:f>
        <x:v>0.31200000000000006</x:v>
      </x:c>
      <x:c r="Y77" s="41" t="n">
        <x:v>84</x:v>
      </x:c>
      <x:c r="Z77" s="41" t="n">
        <x:v>38</x:v>
      </x:c>
      <x:c r="AA77" s="50" t="n">
        <x:f>K77*O77*Q77</x:f>
        <x:v>9185.0616</x:v>
      </x:c>
      <x:c r="AB77" s="50" t="n">
        <x:f>L77*O77*Q77</x:f>
        <x:v>16700.112</x:v>
      </x:c>
      <x:c r="AC77" s="50" t="n">
        <x:f>M77*O77*Q77</x:f>
        <x:v>30060.2016</x:v>
      </x:c>
      <x:c r="AD77" s="50" t="n">
        <x:f>AB77*N77</x:f>
        <x:v>1670011.2000000002</x:v>
      </x:c>
      <x:c r="AE77" s="50" t="n">
        <x:f>MAX(0,N77*(AB77*W77-S77*O77-T77))</x:f>
        <x:v>0</x:v>
      </x:c>
      <x:c r="AF77" s="50" t="n">
        <x:f>MAX(0,N77*(AB77*X77-S77*O77-T77))</x:f>
        <x:v>207405.09440000015</x:v>
      </x:c>
      <x:c r="AG77" s="47" t="n">
        <x:f>(RANK.EQ(AD77,$AD$5:$AD$157,1)-1)/(COUNT($AD$5:$AD$157)-1)*100</x:f>
        <x:v>100</x:v>
      </x:c>
      <x:c r="AH77" s="47" t="n">
        <x:f>MAX(0,MIN(100,AG77*'Assumptions'!$B$5+V77*'Assumptions'!$B$6+Y77*'Assumptions'!$B$7+Z77*'Assumptions'!$B$8-(Q77-1)*'Assumptions'!$B$12))</x:f>
        <x:v>55.99999999999999</x:v>
      </x:c>
      <x:c r="AI77" s="51" t="str">
        <x:v>Low</x:v>
      </x:c>
      <x:c r="AJ77" s="51" t="str">
        <x:v>Specialists lack agents that can operate domain tools, preserve provenance, and reproduce results.</x:v>
      </x:c>
      <x:c r="AK77" s="53" t="str">
        <x:f>IF(AND(AH77&gt;=75,V77&gt;=65,Z77&gt;=60),"Build now",IF(AND(AH77&gt;=60,V77&gt;=50),"Validate next",IF(AH77&gt;=50,"Partner or monitor","Deprioritize")))</x:f>
        <x:v>Partner or monitor</x:v>
      </x:c>
      <x:c r="AL77" s="51" t="str">
        <x:v>Useful copilot for parts of the workflow; close supervision is required. Accountable professional signoff remains necessary.</x:v>
      </x:c>
      <x:c r="AM77" s="51" t="str">
        <x:v>/Users/jaibhagat/code/prismml/agents-last-exam/tasks/health_medicine/sa_aki_phenotyping/task_card.json</x:v>
      </x:c>
    </x:row>
    <x:row r="78">
      <x:c r="A78" s="40" t="n">
        <x:f>COUNTIF($AH$5:$AH$157,"&gt;"&amp;AH78)+COUNTIF($AH$5:AH78,AH78)</x:f>
        <x:v>74</x:v>
      </x:c>
      <x:c r="B78" s="51" t="str">
        <x:v>life_sciences/spatial_transcriptomics_spatial_domain_identification</x:v>
      </x:c>
      <x:c r="C78" s="51" t="str">
        <x:v>Spatial Transcriptomics Spatial Domain Identification</x:v>
      </x:c>
      <x:c r="D78" s="51" t="str">
        <x:v>life_sciences</x:v>
      </x:c>
      <x:c r="E78" s="51" t="str">
        <x:v>Cell &amp; Imaging Biology</x:v>
      </x:c>
      <x:c r="F78" s="51" t="str">
        <x:v>Structured analysis and decision support</x:v>
      </x:c>
      <x:c r="G78" s="51" t="str">
        <x:v>Bioinformatics or life-science researcher</x:v>
      </x:c>
      <x:c r="H78" s="51" t="str">
        <x:v>Professional and related</x:v>
      </x:c>
      <x:c r="I78" s="52" t="n">
        <x:v>1.25</x:v>
      </x:c>
      <x:c r="J78" s="51" t="str">
        <x:v>Structured data artifact</x:v>
      </x:c>
      <x:c r="K78" s="43" t="n">
        <x:v>55</x:v>
      </x:c>
      <x:c r="L78" s="43" t="n">
        <x:v>100</x:v>
      </x:c>
      <x:c r="M78" s="43" t="n">
        <x:v>180</x:v>
      </x:c>
      <x:c r="N78" s="43" t="n">
        <x:v>4</x:v>
      </x:c>
      <x:c r="O78" s="44" t="n">
        <x:f>INDEX('Assumptions'!$B$24:$B$29,MATCH(H78,'Assumptions'!$A$24:$A$29,0))*I78</x:f>
        <x:v>91.2375</x:v>
      </x:c>
      <x:c r="P78" s="41" t="str">
        <x:v>High</x:v>
      </x:c>
      <x:c r="Q78" s="45" t="n">
        <x:f>INDEX('Assumptions'!$B$18:$B$21,MATCH(P78,'Assumptions'!$A$18:$A$21,0))</x:f>
        <x:v>1.6</x:v>
      </x:c>
      <x:c r="R78" s="46" t="n">
        <x:v>0.28</x:v>
      </x:c>
      <x:c r="S78" s="47" t="n">
        <x:f>L78*R78</x:f>
        <x:v>28.000000000000004</x:v>
      </x:c>
      <x:c r="T78" s="48" t="n">
        <x:v>15</x:v>
      </x:c>
      <x:c r="U78" s="41" t="n">
        <x:v>4</x:v>
      </x:c>
      <x:c r="V78" s="41" t="n">
        <x:v>74</x:v>
      </x:c>
      <x:c r="W78" s="49" t="n">
        <x:f>V78/100*'Assumptions'!$B$9</x:f>
        <x:v>0.259</x:v>
      </x:c>
      <x:c r="X78" s="49" t="n">
        <x:f>MIN('Assumptions'!$B$11,V78/100*'Assumptions'!$B$10)</x:f>
        <x:v>0.5772</x:v>
      </x:c>
      <x:c r="Y78" s="41" t="n">
        <x:v>66</x:v>
      </x:c>
      <x:c r="Z78" s="41" t="n">
        <x:v>71</x:v>
      </x:c>
      <x:c r="AA78" s="50" t="n">
        <x:f>K78*O78*Q78</x:f>
        <x:v>8028.900000000001</x:v>
      </x:c>
      <x:c r="AB78" s="50" t="n">
        <x:f>L78*O78*Q78</x:f>
        <x:v>14598</x:v>
      </x:c>
      <x:c r="AC78" s="50" t="n">
        <x:f>M78*O78*Q78</x:f>
        <x:v>26276.4</x:v>
      </x:c>
      <x:c r="AD78" s="50" t="n">
        <x:f>AB78*N78</x:f>
        <x:v>58392</x:v>
      </x:c>
      <x:c r="AE78" s="50" t="n">
        <x:f>MAX(0,N78*(AB78*W78-S78*O78-T78))</x:f>
        <x:v>4844.928</x:v>
      </x:c>
      <x:c r="AF78" s="50" t="n">
        <x:f>MAX(0,N78*(AB78*X78-S78*O78-T78))</x:f>
        <x:v>23425.262400000007</x:v>
      </x:c>
      <x:c r="AG78" s="47" t="n">
        <x:f>(RANK.EQ(AD78,$AD$5:$AD$157,1)-1)/(COUNT($AD$5:$AD$157)-1)*100</x:f>
        <x:v>30.263157894736842</x:v>
      </x:c>
      <x:c r="AH78" s="47" t="n">
        <x:f>MAX(0,MIN(100,AG78*'Assumptions'!$B$5+V78*'Assumptions'!$B$6+Y78*'Assumptions'!$B$7+Z78*'Assumptions'!$B$8-(Q78-1)*'Assumptions'!$B$12))</x:f>
        <x:v>55.665789473684214</x:v>
      </x:c>
      <x:c r="AI78" s="51" t="str">
        <x:v>Medium</x:v>
      </x:c>
      <x:c r="AJ78" s="51" t="str">
        <x:v>Standard analyses are partly automated, but reliable evidence, exception handling, and deliverable compliance remain gaps.</x:v>
      </x:c>
      <x:c r="AK78" s="53" t="str">
        <x:f>IF(AND(AH78&gt;=75,V78&gt;=65,Z78&gt;=60),"Build now",IF(AND(AH78&gt;=60,V78&gt;=50),"Validate next",IF(AH78&gt;=50,"Partner or monitor","Deprioritize")))</x:f>
        <x:v>Partner or monitor</x:v>
      </x:c>
      <x:c r="AL78" s="51" t="str">
        <x:v>Production automation is feasible for standard cases with exception routing.</x:v>
      </x:c>
      <x:c r="AM78" s="51" t="str">
        <x:v>/Users/jaibhagat/code/prismml/agents-last-exam/tasks/life_sciences/spatial_transcriptomics_spatial_domain_identification/task_card.json</x:v>
      </x:c>
    </x:row>
    <x:row r="79">
      <x:c r="A79" s="40" t="n">
        <x:f>COUNTIF($AH$5:$AH$157,"&gt;"&amp;AH79)+COUNTIF($AH$5:AH79,AH79)</x:f>
        <x:v>77</x:v>
      </x:c>
      <x:c r="B79" s="51" t="str">
        <x:v>health_medicine/nhanes_confounder_sensitivity_analysis</x:v>
      </x:c>
      <x:c r="C79" s="51" t="str">
        <x:v>NHANES Confounder Sensitivity Analysis</x:v>
      </x:c>
      <x:c r="D79" s="51" t="str">
        <x:v>health_medicine</x:v>
      </x:c>
      <x:c r="E79" s="51" t="str">
        <x:v>Public Health &amp; Epidemiology</x:v>
      </x:c>
      <x:c r="F79" s="51" t="str">
        <x:v>Software and data engineering</x:v>
      </x:c>
      <x:c r="G79" s="51" t="str">
        <x:v>Clinical data scientist or medical specialist</x:v>
      </x:c>
      <x:c r="H79" s="51" t="str">
        <x:v>Professional and related</x:v>
      </x:c>
      <x:c r="I79" s="52" t="n">
        <x:v>1.3</x:v>
      </x:c>
      <x:c r="J79" s="51" t="str">
        <x:v>Structured data artifact</x:v>
      </x:c>
      <x:c r="K79" s="43" t="n">
        <x:v>26</x:v>
      </x:c>
      <x:c r="L79" s="43" t="n">
        <x:v>48</x:v>
      </x:c>
      <x:c r="M79" s="43" t="n">
        <x:v>86</x:v>
      </x:c>
      <x:c r="N79" s="43" t="n">
        <x:v>10</x:v>
      </x:c>
      <x:c r="O79" s="44" t="n">
        <x:f>INDEX('Assumptions'!$B$24:$B$29,MATCH(H79,'Assumptions'!$A$24:$A$29,0))*I79</x:f>
        <x:v>94.887</x:v>
      </x:c>
      <x:c r="P79" s="41" t="str">
        <x:v>High</x:v>
      </x:c>
      <x:c r="Q79" s="45" t="n">
        <x:f>INDEX('Assumptions'!$B$18:$B$21,MATCH(P79,'Assumptions'!$A$18:$A$21,0))</x:f>
        <x:v>1.6</x:v>
      </x:c>
      <x:c r="R79" s="46" t="n">
        <x:v>0.28</x:v>
      </x:c>
      <x:c r="S79" s="47" t="n">
        <x:f>L79*R79</x:f>
        <x:v>13.440000000000001</x:v>
      </x:c>
      <x:c r="T79" s="48" t="n">
        <x:v>20</x:v>
      </x:c>
      <x:c r="U79" s="41" t="n">
        <x:v>4</x:v>
      </x:c>
      <x:c r="V79" s="41" t="n">
        <x:v>64</x:v>
      </x:c>
      <x:c r="W79" s="49" t="n">
        <x:f>V79/100*'Assumptions'!$B$9</x:f>
        <x:v>0.22399999999999998</x:v>
      </x:c>
      <x:c r="X79" s="49" t="n">
        <x:f>MIN('Assumptions'!$B$11,V79/100*'Assumptions'!$B$10)</x:f>
        <x:v>0.49920000000000003</x:v>
      </x:c>
      <x:c r="Y79" s="41" t="n">
        <x:v>64</x:v>
      </x:c>
      <x:c r="Z79" s="41" t="n">
        <x:v>68</x:v>
      </x:c>
      <x:c r="AA79" s="50" t="n">
        <x:f>K79*O79*Q79</x:f>
        <x:v>3947.2992</x:v>
      </x:c>
      <x:c r="AB79" s="50" t="n">
        <x:f>L79*O79*Q79</x:f>
        <x:v>7287.3216</x:v>
      </x:c>
      <x:c r="AC79" s="50" t="n">
        <x:f>M79*O79*Q79</x:f>
        <x:v>13056.451200000001</x:v>
      </x:c>
      <x:c r="AD79" s="50" t="n">
        <x:f>AB79*N79</x:f>
        <x:v>72873.216</x:v>
      </x:c>
      <x:c r="AE79" s="50" t="n">
        <x:f>MAX(0,N79*(AB79*W79-S79*O79-T79))</x:f>
        <x:v>3370.7875839999974</x:v>
      </x:c>
      <x:c r="AF79" s="50" t="n">
        <x:f>MAX(0,N79*(AB79*X79-S79*O79-T79))</x:f>
        <x:v>23425.496627200002</x:v>
      </x:c>
      <x:c r="AG79" s="47" t="n">
        <x:f>(RANK.EQ(AD79,$AD$5:$AD$157,1)-1)/(COUNT($AD$5:$AD$157)-1)*100</x:f>
        <x:v>44.73684210526316</x:v>
      </x:c>
      <x:c r="AH79" s="47" t="n">
        <x:f>MAX(0,MIN(100,AG79*'Assumptions'!$B$5+V79*'Assumptions'!$B$6+Y79*'Assumptions'!$B$7+Z79*'Assumptions'!$B$8-(Q79-1)*'Assumptions'!$B$12))</x:f>
        <x:v>55.184210526315795</x:v>
      </x:c>
      <x:c r="AI79" s="51" t="str">
        <x:v>Low</x:v>
      </x:c>
      <x:c r="AJ79" s="51" t="str">
        <x:v>The gap is verified repair and migration inside constrained environments, with evidence that changes work.</x:v>
      </x:c>
      <x:c r="AK79" s="53" t="str">
        <x:f>IF(AND(AH79&gt;=75,V79&gt;=65,Z79&gt;=60),"Build now",IF(AND(AH79&gt;=60,V79&gt;=50),"Validate next",IF(AH79&gt;=50,"Partner or monitor","Deprioritize")))</x:f>
        <x:v>Partner or monitor</x:v>
      </x:c>
      <x:c r="AL79" s="51" t="str">
        <x:v>Production automation is feasible for standard cases with exception routing.</x:v>
      </x:c>
      <x:c r="AM79" s="51" t="str">
        <x:v>/Users/jaibhagat/code/prismml/agents-last-exam/tasks/health_medicine/nhanes_confounder_sensitivity_analysis/task_card.json</x:v>
      </x:c>
    </x:row>
    <x:row r="80">
      <x:c r="A80" s="40" t="n">
        <x:f>COUNTIF($AH$5:$AH$157,"&gt;"&amp;AH80)+COUNTIF($AH$5:AH80,AH80)</x:f>
        <x:v>75</x:v>
      </x:c>
      <x:c r="B80" s="51" t="str">
        <x:v>business_finance/american_option_pricing_ls</x:v>
      </x:c>
      <x:c r="C80" s="51" t="str">
        <x:v>American Option Pricing via Longstaff-Schwartz</x:v>
      </x:c>
      <x:c r="D80" s="51" t="str">
        <x:v>business_finance</x:v>
      </x:c>
      <x:c r="E80" s="51" t="str">
        <x:v>Quantitative Finance &amp; Trading</x:v>
      </x:c>
      <x:c r="F80" s="51" t="str">
        <x:v>Scientific modeling and computation</x:v>
      </x:c>
      <x:c r="G80" s="51" t="str">
        <x:v>Financial or operations analyst</x:v>
      </x:c>
      <x:c r="H80" s="51" t="str">
        <x:v>Management, business, and financial</x:v>
      </x:c>
      <x:c r="I80" s="52" t="n">
        <x:v>1.15</x:v>
      </x:c>
      <x:c r="J80" s="51" t="str">
        <x:v>Structured data artifact</x:v>
      </x:c>
      <x:c r="K80" s="43" t="n">
        <x:v>66</x:v>
      </x:c>
      <x:c r="L80" s="43" t="n">
        <x:v>120</x:v>
      </x:c>
      <x:c r="M80" s="43" t="n">
        <x:v>216</x:v>
      </x:c>
      <x:c r="N80" s="43" t="n">
        <x:v>6</x:v>
      </x:c>
      <x:c r="O80" s="44" t="n">
        <x:f>INDEX('Assumptions'!$B$24:$B$29,MATCH(H80,'Assumptions'!$A$24:$A$29,0))*I80</x:f>
        <x:v>100.84349999999999</x:v>
      </x:c>
      <x:c r="P80" s="41" t="str">
        <x:v>Medium</x:v>
      </x:c>
      <x:c r="Q80" s="45" t="n">
        <x:f>INDEX('Assumptions'!$B$18:$B$21,MATCH(P80,'Assumptions'!$A$18:$A$21,0))</x:f>
        <x:v>1.25</x:v>
      </x:c>
      <x:c r="R80" s="46" t="n">
        <x:v>0.18</x:v>
      </x:c>
      <x:c r="S80" s="47" t="n">
        <x:f>L80*R80</x:f>
        <x:v>21.599999999999998</x:v>
      </x:c>
      <x:c r="T80" s="48" t="n">
        <x:v>100</x:v>
      </x:c>
      <x:c r="U80" s="41" t="n">
        <x:v>3</x:v>
      </x:c>
      <x:c r="V80" s="41" t="n">
        <x:v>42</x:v>
      </x:c>
      <x:c r="W80" s="49" t="n">
        <x:f>V80/100*'Assumptions'!$B$9</x:f>
        <x:v>0.147</x:v>
      </x:c>
      <x:c r="X80" s="49" t="n">
        <x:f>MIN('Assumptions'!$B$11,V80/100*'Assumptions'!$B$10)</x:f>
        <x:v>0.3276</x:v>
      </x:c>
      <x:c r="Y80" s="41" t="n">
        <x:v>76</x:v>
      </x:c>
      <x:c r="Z80" s="41" t="n">
        <x:v>58</x:v>
      </x:c>
      <x:c r="AA80" s="50" t="n">
        <x:f>K80*O80*Q80</x:f>
        <x:v>8319.588749999999</x:v>
      </x:c>
      <x:c r="AB80" s="50" t="n">
        <x:f>L80*O80*Q80</x:f>
        <x:v>15126.525</x:v>
      </x:c>
      <x:c r="AC80" s="50" t="n">
        <x:f>M80*O80*Q80</x:f>
        <x:v>27227.745</x:v>
      </x:c>
      <x:c r="AD80" s="50" t="n">
        <x:f>AB80*N80</x:f>
        <x:v>90759.15</x:v>
      </x:c>
      <x:c r="AE80" s="50" t="n">
        <x:f>MAX(0,N80*(AB80*W80-S80*O80-T80))</x:f>
        <x:v>0</x:v>
      </x:c>
      <x:c r="AF80" s="50" t="n">
        <x:f>MAX(0,N80*(AB80*X80-S80*O80-T80))</x:f>
        <x:v>16063.379940000004</x:v>
      </x:c>
      <x:c r="AG80" s="47" t="n">
        <x:f>(RANK.EQ(AD80,$AD$5:$AD$157,1)-1)/(COUNT($AD$5:$AD$157)-1)*100</x:f>
        <x:v>56.57894736842105</x:v>
      </x:c>
      <x:c r="AH80" s="47" t="n">
        <x:f>MAX(0,MIN(100,AG80*'Assumptions'!$B$5+V80*'Assumptions'!$B$6+Y80*'Assumptions'!$B$7+Z80*'Assumptions'!$B$8-(Q80-1)*'Assumptions'!$B$12))</x:f>
        <x:v>55.34473684210526</x:v>
      </x:c>
      <x:c r="AI80" s="51" t="str">
        <x:v>Low</x:v>
      </x:c>
      <x:c r="AJ80" s="51" t="str">
        <x:v>Specialists lack agents that can operate domain tools, preserve provenance, and reproduce results.</x:v>
      </x:c>
      <x:c r="AK80" s="53" t="str">
        <x:f>IF(AND(AH80&gt;=75,V80&gt;=65,Z80&gt;=60),"Build now",IF(AND(AH80&gt;=60,V80&gt;=50),"Validate next",IF(AH80&gt;=50,"Partner or monitor","Deprioritize")))</x:f>
        <x:v>Partner or monitor</x:v>
      </x:c>
      <x:c r="AL80" s="51" t="str">
        <x:v>Bounded agents can complete standard cases with mandatory review.</x:v>
      </x:c>
      <x:c r="AM80" s="51" t="str">
        <x:v>/Users/jaibhagat/code/prismml/agents-last-exam/tasks/business_finance/american_option_pricing_ls/task_card.json</x:v>
      </x:c>
    </x:row>
    <x:row r="81">
      <x:c r="A81" s="40" t="n">
        <x:f>COUNTIF($AH$5:$AH$157,"&gt;"&amp;AH81)+COUNTIF($AH$5:AH81,AH81)</x:f>
        <x:v>76</x:v>
      </x:c>
      <x:c r="B81" s="51" t="str">
        <x:v>agriculture_env/ndvi_zonal_statistics_d02</x:v>
      </x:c>
      <x:c r="C81" s="51" t="str">
        <x:v>Sentinel-2 NDVI Zonal Statistics</x:v>
      </x:c>
      <x:c r="D81" s="51" t="str">
        <x:v>agriculture_env</x:v>
      </x:c>
      <x:c r="E81" s="51" t="str">
        <x:v>Precision Agriculture</x:v>
      </x:c>
      <x:c r="F81" s="51" t="str">
        <x:v>Image, signal, or geospatial analysis</x:v>
      </x:c>
      <x:c r="G81" s="51" t="str">
        <x:v>GIS or agricultural analyst</x:v>
      </x:c>
      <x:c r="H81" s="51" t="str">
        <x:v>Professional and related</x:v>
      </x:c>
      <x:c r="I81" s="52" t="n">
        <x:v>1.05</x:v>
      </x:c>
      <x:c r="J81" s="51" t="str">
        <x:v>Structured data artifact</x:v>
      </x:c>
      <x:c r="K81" s="43" t="n">
        <x:v>22</x:v>
      </x:c>
      <x:c r="L81" s="43" t="n">
        <x:v>40</x:v>
      </x:c>
      <x:c r="M81" s="43" t="n">
        <x:v>72</x:v>
      </x:c>
      <x:c r="N81" s="43" t="n">
        <x:v>24</x:v>
      </x:c>
      <x:c r="O81" s="44" t="n">
        <x:f>INDEX('Assumptions'!$B$24:$B$29,MATCH(H81,'Assumptions'!$A$24:$A$29,0))*I81</x:f>
        <x:v>76.6395</x:v>
      </x:c>
      <x:c r="P81" s="41" t="str">
        <x:v>Medium</x:v>
      </x:c>
      <x:c r="Q81" s="45" t="n">
        <x:f>INDEX('Assumptions'!$B$18:$B$21,MATCH(P81,'Assumptions'!$A$18:$A$21,0))</x:f>
        <x:v>1.25</x:v>
      </x:c>
      <x:c r="R81" s="46" t="n">
        <x:v>0.18</x:v>
      </x:c>
      <x:c r="S81" s="47" t="n">
        <x:f>L81*R81</x:f>
        <x:v>7.199999999999999</x:v>
      </x:c>
      <x:c r="T81" s="48" t="n">
        <x:v>35</x:v>
      </x:c>
      <x:c r="U81" s="41" t="n">
        <x:v>4</x:v>
      </x:c>
      <x:c r="V81" s="41" t="n">
        <x:v>44</x:v>
      </x:c>
      <x:c r="W81" s="49" t="n">
        <x:f>V81/100*'Assumptions'!$B$9</x:f>
        <x:v>0.154</x:v>
      </x:c>
      <x:c r="X81" s="49" t="n">
        <x:f>MIN('Assumptions'!$B$11,V81/100*'Assumptions'!$B$10)</x:f>
        <x:v>0.3432</x:v>
      </x:c>
      <x:c r="Y81" s="41" t="n">
        <x:v>72</x:v>
      </x:c>
      <x:c r="Z81" s="41" t="n">
        <x:v>57</x:v>
      </x:c>
      <x:c r="AA81" s="50" t="n">
        <x:f>K81*O81*Q81</x:f>
        <x:v>2107.58625</x:v>
      </x:c>
      <x:c r="AB81" s="50" t="n">
        <x:f>L81*O81*Q81</x:f>
        <x:v>3831.975</x:v>
      </x:c>
      <x:c r="AC81" s="50" t="n">
        <x:f>M81*O81*Q81</x:f>
        <x:v>6897.555</x:v>
      </x:c>
      <x:c r="AD81" s="50" t="n">
        <x:f>AB81*N81</x:f>
        <x:v>91967.4</x:v>
      </x:c>
      <x:c r="AE81" s="50" t="n">
        <x:f>MAX(0,N81*(AB81*W81-S81*O81-T81))</x:f>
        <x:v>79.67399999999998</x:v>
      </x:c>
      <x:c r="AF81" s="50" t="n">
        <x:f>MAX(0,N81*(AB81*X81-S81*O81-T81))</x:f>
        <x:v>17479.90608</x:v>
      </x:c>
      <x:c r="AG81" s="47" t="n">
        <x:f>(RANK.EQ(AD81,$AD$5:$AD$157,1)-1)/(COUNT($AD$5:$AD$157)-1)*100</x:f>
        <x:v>58.55263157894737</x:v>
      </x:c>
      <x:c r="AH81" s="47" t="n">
        <x:f>MAX(0,MIN(100,AG81*'Assumptions'!$B$5+V81*'Assumptions'!$B$6+Y81*'Assumptions'!$B$7+Z81*'Assumptions'!$B$8-(Q81-1)*'Assumptions'!$B$12))</x:f>
        <x:v>55.23815789473684</x:v>
      </x:c>
      <x:c r="AI81" s="51" t="str">
        <x:v>Low</x:v>
      </x:c>
      <x:c r="AJ81" s="51" t="str">
        <x:v>Niche image and signal workflows remain fragmented across specialist tools and manual QA.</x:v>
      </x:c>
      <x:c r="AK81" s="53" t="str">
        <x:f>IF(AND(AH81&gt;=75,V81&gt;=65,Z81&gt;=60),"Build now",IF(AND(AH81&gt;=60,V81&gt;=50),"Validate next",IF(AH81&gt;=50,"Partner or monitor","Deprioritize")))</x:f>
        <x:v>Partner or monitor</x:v>
      </x:c>
      <x:c r="AL81" s="51" t="str">
        <x:v>Production automation is feasible for standard cases with exception routing.</x:v>
      </x:c>
      <x:c r="AM81" s="51" t="str">
        <x:v>/Users/jaibhagat/code/prismml/agents-last-exam/tasks/agriculture_env/ndvi_zonal_statistics_d02/task_card.json</x:v>
      </x:c>
    </x:row>
    <x:row r="82">
      <x:c r="A82" s="40" t="n">
        <x:f>COUNTIF($AH$5:$AH$157,"&gt;"&amp;AH82)+COUNTIF($AH$5:AH82,AH82)</x:f>
        <x:v>78</x:v>
      </x:c>
      <x:c r="B82" s="51" t="str">
        <x:v>transport_safety/capacitated_vehicle_routing_problems</x:v>
      </x:c>
      <x:c r="C82" s="51" t="str">
        <x:v>Capacitated Vehicle Routing Problems</x:v>
      </x:c>
      <x:c r="D82" s="51" t="str">
        <x:v>transport_safety</x:v>
      </x:c>
      <x:c r="E82" s="51" t="str">
        <x:v>Mathematical &amp; Operations Research</x:v>
      </x:c>
      <x:c r="F82" s="51" t="str">
        <x:v>Structured analysis and decision support</x:v>
      </x:c>
      <x:c r="G82" s="51" t="str">
        <x:v>Transportation or safety analyst</x:v>
      </x:c>
      <x:c r="H82" s="51" t="str">
        <x:v>Professional and related</x:v>
      </x:c>
      <x:c r="I82" s="52" t="n">
        <x:v>1.15</x:v>
      </x:c>
      <x:c r="J82" s="51" t="str">
        <x:v>Verified analytical output</x:v>
      </x:c>
      <x:c r="K82" s="43" t="n">
        <x:v>18</x:v>
      </x:c>
      <x:c r="L82" s="43" t="n">
        <x:v>32</x:v>
      </x:c>
      <x:c r="M82" s="43" t="n">
        <x:v>58</x:v>
      </x:c>
      <x:c r="N82" s="43" t="n">
        <x:v>18</x:v>
      </x:c>
      <x:c r="O82" s="44" t="n">
        <x:f>INDEX('Assumptions'!$B$24:$B$29,MATCH(H82,'Assumptions'!$A$24:$A$29,0))*I82</x:f>
        <x:v>83.93849999999999</x:v>
      </x:c>
      <x:c r="P82" s="41" t="str">
        <x:v>High</x:v>
      </x:c>
      <x:c r="Q82" s="45" t="n">
        <x:f>INDEX('Assumptions'!$B$18:$B$21,MATCH(P82,'Assumptions'!$A$18:$A$21,0))</x:f>
        <x:v>1.6</x:v>
      </x:c>
      <x:c r="R82" s="46" t="n">
        <x:v>0.28</x:v>
      </x:c>
      <x:c r="S82" s="47" t="n">
        <x:f>L82*R82</x:f>
        <x:v>8.96</x:v>
      </x:c>
      <x:c r="T82" s="48" t="n">
        <x:v>15</x:v>
      </x:c>
      <x:c r="U82" s="41" t="n">
        <x:v>3</x:v>
      </x:c>
      <x:c r="V82" s="41" t="n">
        <x:v>64</x:v>
      </x:c>
      <x:c r="W82" s="49" t="n">
        <x:f>V82/100*'Assumptions'!$B$9</x:f>
        <x:v>0.22399999999999998</x:v>
      </x:c>
      <x:c r="X82" s="49" t="n">
        <x:f>MIN('Assumptions'!$B$11,V82/100*'Assumptions'!$B$10)</x:f>
        <x:v>0.49920000000000003</x:v>
      </x:c>
      <x:c r="Y82" s="41" t="n">
        <x:v>62</x:v>
      </x:c>
      <x:c r="Z82" s="41" t="n">
        <x:v>62</x:v>
      </x:c>
      <x:c r="AA82" s="50" t="n">
        <x:f>K82*O82*Q82</x:f>
        <x:v>2417.4287999999997</x:v>
      </x:c>
      <x:c r="AB82" s="50" t="n">
        <x:f>L82*O82*Q82</x:f>
        <x:v>4297.651199999999</x:v>
      </x:c>
      <x:c r="AC82" s="50" t="n">
        <x:f>M82*O82*Q82</x:f>
        <x:v>7789.492799999999</x:v>
      </x:c>
      <x:c r="AD82" s="50" t="n">
        <x:f>AB82*N82</x:f>
        <x:v>77357.72159999999</x:v>
      </x:c>
      <x:c r="AE82" s="50" t="n">
        <x:f>MAX(0,N82*(AB82*W82-S82*O82-T82))</x:f>
        <x:v>3520.5283583999935</x:v>
      </x:c>
      <x:c r="AF82" s="50" t="n">
        <x:f>MAX(0,N82*(AB82*X82-S82*O82-T82))</x:f>
        <x:v>24809.37334272</x:v>
      </x:c>
      <x:c r="AG82" s="47" t="n">
        <x:f>(RANK.EQ(AD82,$AD$5:$AD$157,1)-1)/(COUNT($AD$5:$AD$157)-1)*100</x:f>
        <x:v>46.71052631578947</x:v>
      </x:c>
      <x:c r="AH82" s="47" t="n">
        <x:f>MAX(0,MIN(100,AG82*'Assumptions'!$B$5+V82*'Assumptions'!$B$6+Y82*'Assumptions'!$B$7+Z82*'Assumptions'!$B$8-(Q82-1)*'Assumptions'!$B$12))</x:f>
        <x:v>53.97763157894737</x:v>
      </x:c>
      <x:c r="AI82" s="51" t="str">
        <x:v>Medium</x:v>
      </x:c>
      <x:c r="AJ82" s="51" t="str">
        <x:v>Standard analyses are partly automated, but reliable evidence, exception handling, and deliverable compliance remain gaps.</x:v>
      </x:c>
      <x:c r="AK82" s="53" t="str">
        <x:f>IF(AND(AH82&gt;=75,V82&gt;=65,Z82&gt;=60),"Build now",IF(AND(AH82&gt;=60,V82&gt;=50),"Validate next",IF(AH82&gt;=50,"Partner or monitor","Deprioritize")))</x:f>
        <x:v>Partner or monitor</x:v>
      </x:c>
      <x:c r="AL82" s="51" t="str">
        <x:v>Bounded agents can complete standard cases with mandatory review.</x:v>
      </x:c>
      <x:c r="AM82" s="51" t="str">
        <x:v>/Users/jaibhagat/code/prismml/agents-last-exam/tasks/transport_safety/capacitated_vehicle_routing_problems/task_card.json</x:v>
      </x:c>
    </x:row>
    <x:row r="83">
      <x:c r="A83" s="40" t="n">
        <x:f>COUNTIF($AH$5:$AH$157,"&gt;"&amp;AH83)+COUNTIF($AH$5:AH83,AH83)</x:f>
        <x:v>79</x:v>
      </x:c>
      <x:c r="B83" s="51" t="str">
        <x:v>health_medicine/ecg_rhythm_conduction_ptbxl</x:v>
      </x:c>
      <x:c r="C83" s="51" t="str">
        <x:v>ECG Rhythm Conduction Ptbxl</x:v>
      </x:c>
      <x:c r="D83" s="51" t="str">
        <x:v>health_medicine</x:v>
      </x:c>
      <x:c r="E83" s="51" t="str">
        <x:v>Therapeutic &amp; Oncology Services</x:v>
      </x:c>
      <x:c r="F83" s="51" t="str">
        <x:v>Image, signal, or geospatial analysis</x:v>
      </x:c>
      <x:c r="G83" s="51" t="str">
        <x:v>Clinical data scientist or medical specialist</x:v>
      </x:c>
      <x:c r="H83" s="51" t="str">
        <x:v>Professional and related</x:v>
      </x:c>
      <x:c r="I83" s="52" t="n">
        <x:v>1.3</x:v>
      </x:c>
      <x:c r="J83" s="51" t="str">
        <x:v>Structured data artifact</x:v>
      </x:c>
      <x:c r="K83" s="43" t="n">
        <x:v>17</x:v>
      </x:c>
      <x:c r="L83" s="43" t="n">
        <x:v>30</x:v>
      </x:c>
      <x:c r="M83" s="43" t="n">
        <x:v>54</x:v>
      </x:c>
      <x:c r="N83" s="43" t="n">
        <x:v>24</x:v>
      </x:c>
      <x:c r="O83" s="44" t="n">
        <x:f>INDEX('Assumptions'!$B$24:$B$29,MATCH(H83,'Assumptions'!$A$24:$A$29,0))*I83</x:f>
        <x:v>94.887</x:v>
      </x:c>
      <x:c r="P83" s="41" t="str">
        <x:v>High</x:v>
      </x:c>
      <x:c r="Q83" s="45" t="n">
        <x:f>INDEX('Assumptions'!$B$18:$B$21,MATCH(P83,'Assumptions'!$A$18:$A$21,0))</x:f>
        <x:v>1.6</x:v>
      </x:c>
      <x:c r="R83" s="46" t="n">
        <x:v>0.28</x:v>
      </x:c>
      <x:c r="S83" s="47" t="n">
        <x:f>L83*R83</x:f>
        <x:v>8.4</x:v>
      </x:c>
      <x:c r="T83" s="48" t="n">
        <x:v>35</x:v>
      </x:c>
      <x:c r="U83" s="41" t="n">
        <x:v>4</x:v>
      </x:c>
      <x:c r="V83" s="41" t="n">
        <x:v>44</x:v>
      </x:c>
      <x:c r="W83" s="49" t="n">
        <x:f>V83/100*'Assumptions'!$B$9</x:f>
        <x:v>0.154</x:v>
      </x:c>
      <x:c r="X83" s="49" t="n">
        <x:f>MIN('Assumptions'!$B$11,V83/100*'Assumptions'!$B$10)</x:f>
        <x:v>0.3432</x:v>
      </x:c>
      <x:c r="Y83" s="41" t="n">
        <x:v>72</x:v>
      </x:c>
      <x:c r="Z83" s="41" t="n">
        <x:v>54</x:v>
      </x:c>
      <x:c r="AA83" s="50" t="n">
        <x:f>K83*O83*Q83</x:f>
        <x:v>2580.9264000000003</x:v>
      </x:c>
      <x:c r="AB83" s="50" t="n">
        <x:f>L83*O83*Q83</x:f>
        <x:v>4554.576</x:v>
      </x:c>
      <x:c r="AC83" s="50" t="n">
        <x:f>M83*O83*Q83</x:f>
        <x:v>8198.2368</x:v>
      </x:c>
      <x:c r="AD83" s="50" t="n">
        <x:f>AB83*N83</x:f>
        <x:v>109309.824</x:v>
      </x:c>
      <x:c r="AE83" s="50" t="n">
        <x:f>MAX(0,N83*(AB83*W83-S83*O83-T83))</x:f>
        <x:v>0</x:v>
      </x:c>
      <x:c r="AF83" s="50" t="n">
        <x:f>MAX(0,N83*(AB83*X83-S83*O83-T83))</x:f>
        <x:v>17545.912396800002</x:v>
      </x:c>
      <x:c r="AG83" s="47" t="n">
        <x:f>(RANK.EQ(AD83,$AD$5:$AD$157,1)-1)/(COUNT($AD$5:$AD$157)-1)*100</x:f>
        <x:v>67.10526315789474</x:v>
      </x:c>
      <x:c r="AH83" s="47" t="n">
        <x:f>MAX(0,MIN(100,AG83*'Assumptions'!$B$5+V83*'Assumptions'!$B$6+Y83*'Assumptions'!$B$7+Z83*'Assumptions'!$B$8-(Q83-1)*'Assumptions'!$B$12))</x:f>
        <x:v>53.97631578947369</x:v>
      </x:c>
      <x:c r="AI83" s="51" t="str">
        <x:v>Low</x:v>
      </x:c>
      <x:c r="AJ83" s="51" t="str">
        <x:v>Niche image and signal workflows remain fragmented across specialist tools and manual QA.</x:v>
      </x:c>
      <x:c r="AK83" s="53" t="str">
        <x:f>IF(AND(AH83&gt;=75,V83&gt;=65,Z83&gt;=60),"Build now",IF(AND(AH83&gt;=60,V83&gt;=50),"Validate next",IF(AH83&gt;=50,"Partner or monitor","Deprioritize")))</x:f>
        <x:v>Partner or monitor</x:v>
      </x:c>
      <x:c r="AL83" s="51" t="str">
        <x:v>Production automation is feasible for standard cases with exception routing.</x:v>
      </x:c>
      <x:c r="AM83" s="51" t="str">
        <x:v>/Users/jaibhagat/code/prismml/agents-last-exam/tasks/health_medicine/ecg_rhythm_conduction_ptbxl/task_card.json</x:v>
      </x:c>
    </x:row>
    <x:row r="84">
      <x:c r="A84" s="40" t="n">
        <x:f>COUNTIF($AH$5:$AH$157,"&gt;"&amp;AH84)+COUNTIF($AH$5:AH84,AH84)</x:f>
        <x:v>80</x:v>
      </x:c>
      <x:c r="B84" s="51" t="str">
        <x:v>physical_sciences/climate_prediction</x:v>
      </x:c>
      <x:c r="C84" s="51" t="str">
        <x:v>CMIP6 Climate Emulation Pipeline</x:v>
      </x:c>
      <x:c r="D84" s="51" t="str">
        <x:v>physical_sciences</x:v>
      </x:c>
      <x:c r="E84" s="51" t="str">
        <x:v>Earth &amp; Atmospheric Sciences</x:v>
      </x:c>
      <x:c r="F84" s="51" t="str">
        <x:v>Scientific modeling and computation</x:v>
      </x:c>
      <x:c r="G84" s="51" t="str">
        <x:v>Computational scientist</x:v>
      </x:c>
      <x:c r="H84" s="51" t="str">
        <x:v>Professional and related</x:v>
      </x:c>
      <x:c r="I84" s="52" t="n">
        <x:v>1.25</x:v>
      </x:c>
      <x:c r="J84" s="51" t="str">
        <x:v>Structured data artifact</x:v>
      </x:c>
      <x:c r="K84" s="43" t="n">
        <x:v>66</x:v>
      </x:c>
      <x:c r="L84" s="43" t="n">
        <x:v>120</x:v>
      </x:c>
      <x:c r="M84" s="43" t="n">
        <x:v>216</x:v>
      </x:c>
      <x:c r="N84" s="43" t="n">
        <x:v>6</x:v>
      </x:c>
      <x:c r="O84" s="44" t="n">
        <x:f>INDEX('Assumptions'!$B$24:$B$29,MATCH(H84,'Assumptions'!$A$24:$A$29,0))*I84</x:f>
        <x:v>91.2375</x:v>
      </x:c>
      <x:c r="P84" s="41" t="str">
        <x:v>High</x:v>
      </x:c>
      <x:c r="Q84" s="45" t="n">
        <x:f>INDEX('Assumptions'!$B$18:$B$21,MATCH(P84,'Assumptions'!$A$18:$A$21,0))</x:f>
        <x:v>1.6</x:v>
      </x:c>
      <x:c r="R84" s="46" t="n">
        <x:v>0.28</x:v>
      </x:c>
      <x:c r="S84" s="47" t="n">
        <x:f>L84*R84</x:f>
        <x:v>33.6</x:v>
      </x:c>
      <x:c r="T84" s="48" t="n">
        <x:v>100</x:v>
      </x:c>
      <x:c r="U84" s="41" t="n">
        <x:v>3</x:v>
      </x:c>
      <x:c r="V84" s="41" t="n">
        <x:v>42</x:v>
      </x:c>
      <x:c r="W84" s="49" t="n">
        <x:f>V84/100*'Assumptions'!$B$9</x:f>
        <x:v>0.147</x:v>
      </x:c>
      <x:c r="X84" s="49" t="n">
        <x:f>MIN('Assumptions'!$B$11,V84/100*'Assumptions'!$B$10)</x:f>
        <x:v>0.3276</x:v>
      </x:c>
      <x:c r="Y84" s="41" t="n">
        <x:v>76</x:v>
      </x:c>
      <x:c r="Z84" s="41" t="n">
        <x:v>50</x:v>
      </x:c>
      <x:c r="AA84" s="50" t="n">
        <x:f>K84*O84*Q84</x:f>
        <x:v>9634.68</x:v>
      </x:c>
      <x:c r="AB84" s="50" t="n">
        <x:f>L84*O84*Q84</x:f>
        <x:v>17517.600000000002</x:v>
      </x:c>
      <x:c r="AC84" s="50" t="n">
        <x:f>M84*O84*Q84</x:f>
        <x:v>31531.68</x:v>
      </x:c>
      <x:c r="AD84" s="50" t="n">
        <x:f>AB84*N84</x:f>
        <x:v>105105.6</x:v>
      </x:c>
      <x:c r="AE84" s="50" t="n">
        <x:f>MAX(0,N84*(AB84*W84-S84*O84-T84))</x:f>
        <x:v>0</x:v>
      </x:c>
      <x:c r="AF84" s="50" t="n">
        <x:f>MAX(0,N84*(AB84*X84-S84*O84-T84))</x:f>
        <x:v>15439.114560000007</x:v>
      </x:c>
      <x:c r="AG84" s="47" t="n">
        <x:f>(RANK.EQ(AD84,$AD$5:$AD$157,1)-1)/(COUNT($AD$5:$AD$157)-1)*100</x:f>
        <x:v>65.13157894736842</x:v>
      </x:c>
      <x:c r="AH84" s="47" t="n">
        <x:f>MAX(0,MIN(100,AG84*'Assumptions'!$B$5+V84*'Assumptions'!$B$6+Y84*'Assumptions'!$B$7+Z84*'Assumptions'!$B$8-(Q84-1)*'Assumptions'!$B$12))</x:f>
        <x:v>53.08289473684211</x:v>
      </x:c>
      <x:c r="AI84" s="51" t="str">
        <x:v>Low</x:v>
      </x:c>
      <x:c r="AJ84" s="51" t="str">
        <x:v>Specialists lack agents that can operate domain tools, preserve provenance, and reproduce results.</x:v>
      </x:c>
      <x:c r="AK84" s="53" t="str">
        <x:f>IF(AND(AH84&gt;=75,V84&gt;=65,Z84&gt;=60),"Build now",IF(AND(AH84&gt;=60,V84&gt;=50),"Validate next",IF(AH84&gt;=50,"Partner or monitor","Deprioritize")))</x:f>
        <x:v>Partner or monitor</x:v>
      </x:c>
      <x:c r="AL84" s="51" t="str">
        <x:v>Bounded agents can complete standard cases with mandatory review.</x:v>
      </x:c>
      <x:c r="AM84" s="51" t="str">
        <x:v>/Users/jaibhagat/code/prismml/agents-last-exam/tasks/physical_sciences/climate_prediction/task_card.json</x:v>
      </x:c>
    </x:row>
    <x:row r="85">
      <x:c r="A85" s="40" t="n">
        <x:f>COUNTIF($AH$5:$AH$157,"&gt;"&amp;AH85)+COUNTIF($AH$5:AH85,AH85)</x:f>
        <x:v>81</x:v>
      </x:c>
      <x:c r="B85" s="51" t="str">
        <x:v>computing_math/cost_optimization_1</x:v>
      </x:c>
      <x:c r="C85" s="51" t="str">
        <x:v>AWS Cost Optimization Analysis</x:v>
      </x:c>
      <x:c r="D85" s="51" t="str">
        <x:v>computing_math</x:v>
      </x:c>
      <x:c r="E85" s="51" t="str">
        <x:v>Infrastructure Engineering &amp; Cloud Operations</x:v>
      </x:c>
      <x:c r="F85" s="51" t="str">
        <x:v>Image, signal, or geospatial analysis</x:v>
      </x:c>
      <x:c r="G85" s="51" t="str">
        <x:v>Software engineer or data scientist</x:v>
      </x:c>
      <x:c r="H85" s="51" t="str">
        <x:v>Professional and related</x:v>
      </x:c>
      <x:c r="I85" s="52" t="n">
        <x:v>1.15</x:v>
      </x:c>
      <x:c r="J85" s="51" t="str">
        <x:v>Structured data artifact</x:v>
      </x:c>
      <x:c r="K85" s="43" t="n">
        <x:v>22</x:v>
      </x:c>
      <x:c r="L85" s="43" t="n">
        <x:v>40</x:v>
      </x:c>
      <x:c r="M85" s="43" t="n">
        <x:v>72</x:v>
      </x:c>
      <x:c r="N85" s="43" t="n">
        <x:v>24</x:v>
      </x:c>
      <x:c r="O85" s="44" t="n">
        <x:f>INDEX('Assumptions'!$B$24:$B$29,MATCH(H85,'Assumptions'!$A$24:$A$29,0))*I85</x:f>
        <x:v>83.93849999999999</x:v>
      </x:c>
      <x:c r="P85" s="41" t="str">
        <x:v>Low</x:v>
      </x:c>
      <x:c r="Q85" s="45" t="n">
        <x:f>INDEX('Assumptions'!$B$18:$B$21,MATCH(P85,'Assumptions'!$A$18:$A$21,0))</x:f>
        <x:v>1</x:v>
      </x:c>
      <x:c r="R85" s="46" t="n">
        <x:v>0.1</x:v>
      </x:c>
      <x:c r="S85" s="47" t="n">
        <x:f>L85*R85</x:f>
        <x:v>4</x:v>
      </x:c>
      <x:c r="T85" s="48" t="n">
        <x:v>35</x:v>
      </x:c>
      <x:c r="U85" s="41" t="n">
        <x:v>4</x:v>
      </x:c>
      <x:c r="V85" s="41" t="n">
        <x:v>44</x:v>
      </x:c>
      <x:c r="W85" s="49" t="n">
        <x:f>V85/100*'Assumptions'!$B$9</x:f>
        <x:v>0.154</x:v>
      </x:c>
      <x:c r="X85" s="49" t="n">
        <x:f>MIN('Assumptions'!$B$11,V85/100*'Assumptions'!$B$10)</x:f>
        <x:v>0.3432</x:v>
      </x:c>
      <x:c r="Y85" s="41" t="n">
        <x:v>64</x:v>
      </x:c>
      <x:c r="Z85" s="41" t="n">
        <x:v>57</x:v>
      </x:c>
      <x:c r="AA85" s="50" t="n">
        <x:f>K85*O85*Q85</x:f>
        <x:v>1846.6469999999997</x:v>
      </x:c>
      <x:c r="AB85" s="50" t="n">
        <x:f>L85*O85*Q85</x:f>
        <x:v>3357.5399999999995</x:v>
      </x:c>
      <x:c r="AC85" s="50" t="n">
        <x:f>M85*O85*Q85</x:f>
        <x:v>6043.571999999999</x:v>
      </x:c>
      <x:c r="AD85" s="50" t="n">
        <x:f>AB85*N85</x:f>
        <x:v>80580.95999999999</x:v>
      </x:c>
      <x:c r="AE85" s="50" t="n">
        <x:f>MAX(0,N85*(AB85*W85-S85*O85-T85))</x:f>
        <x:v>3511.3718400000002</x:v>
      </x:c>
      <x:c r="AF85" s="50" t="n">
        <x:f>MAX(0,N85*(AB85*X85-S85*O85-T85))</x:f>
        <x:v>18757.289471999997</x:v>
      </x:c>
      <x:c r="AG85" s="47" t="n">
        <x:f>(RANK.EQ(AD85,$AD$5:$AD$157,1)-1)/(COUNT($AD$5:$AD$157)-1)*100</x:f>
        <x:v>48.68421052631579</x:v>
      </x:c>
      <x:c r="AH85" s="47" t="n">
        <x:f>MAX(0,MIN(100,AG85*'Assumptions'!$B$5+V85*'Assumptions'!$B$6+Y85*'Assumptions'!$B$7+Z85*'Assumptions'!$B$8-(Q85-1)*'Assumptions'!$B$12))</x:f>
        <x:v>52.77105263157895</x:v>
      </x:c>
      <x:c r="AI85" s="51" t="str">
        <x:v>Low</x:v>
      </x:c>
      <x:c r="AJ85" s="51" t="str">
        <x:v>Niche image and signal workflows remain fragmented across specialist tools and manual QA.</x:v>
      </x:c>
      <x:c r="AK85" s="53" t="str">
        <x:f>IF(AND(AH85&gt;=75,V85&gt;=65,Z85&gt;=60),"Build now",IF(AND(AH85&gt;=60,V85&gt;=50),"Validate next",IF(AH85&gt;=50,"Partner or monitor","Deprioritize")))</x:f>
        <x:v>Partner or monitor</x:v>
      </x:c>
      <x:c r="AL85" s="51" t="str">
        <x:v>Production automation is feasible for standard cases with exception routing.</x:v>
      </x:c>
      <x:c r="AM85" s="51" t="str">
        <x:v>/Users/jaibhagat/code/prismml/agents-last-exam/tasks/computing_math/cost_optimization_1/task_card.json</x:v>
      </x:c>
    </x:row>
    <x:row r="86">
      <x:c r="A86" s="40" t="n">
        <x:f>COUNTIF($AH$5:$AH$157,"&gt;"&amp;AH86)+COUNTIF($AH$5:AH86,AH86)</x:f>
        <x:v>82</x:v>
      </x:c>
      <x:c r="B86" s="51" t="str">
        <x:v>computing_math/synthetic_causal_structure_inference</x:v>
      </x:c>
      <x:c r="C86" s="51" t="str">
        <x:v>Synthetic Causal Structure Inference</x:v>
      </x:c>
      <x:c r="D86" s="51" t="str">
        <x:v>computing_math</x:v>
      </x:c>
      <x:c r="E86" s="51" t="str">
        <x:v>Data &amp; Analytics Engineering</x:v>
      </x:c>
      <x:c r="F86" s="51" t="str">
        <x:v>Scientific modeling and computation</x:v>
      </x:c>
      <x:c r="G86" s="51" t="str">
        <x:v>Software engineer or data scientist</x:v>
      </x:c>
      <x:c r="H86" s="51" t="str">
        <x:v>Professional and related</x:v>
      </x:c>
      <x:c r="I86" s="52" t="n">
        <x:v>1.15</x:v>
      </x:c>
      <x:c r="J86" s="51" t="str">
        <x:v>Structured data artifact</x:v>
      </x:c>
      <x:c r="K86" s="43" t="n">
        <x:v>88</x:v>
      </x:c>
      <x:c r="L86" s="43" t="n">
        <x:v>160</x:v>
      </x:c>
      <x:c r="M86" s="43" t="n">
        <x:v>288</x:v>
      </x:c>
      <x:c r="N86" s="43" t="n">
        <x:v>6</x:v>
      </x:c>
      <x:c r="O86" s="44" t="n">
        <x:f>INDEX('Assumptions'!$B$24:$B$29,MATCH(H86,'Assumptions'!$A$24:$A$29,0))*I86</x:f>
        <x:v>83.93849999999999</x:v>
      </x:c>
      <x:c r="P86" s="41" t="str">
        <x:v>Low</x:v>
      </x:c>
      <x:c r="Q86" s="45" t="n">
        <x:f>INDEX('Assumptions'!$B$18:$B$21,MATCH(P86,'Assumptions'!$A$18:$A$21,0))</x:f>
        <x:v>1</x:v>
      </x:c>
      <x:c r="R86" s="46" t="n">
        <x:v>0.1</x:v>
      </x:c>
      <x:c r="S86" s="47" t="n">
        <x:f>L86*R86</x:f>
        <x:v>16</x:v>
      </x:c>
      <x:c r="T86" s="48" t="n">
        <x:v>100</x:v>
      </x:c>
      <x:c r="U86" s="41" t="n">
        <x:v>3</x:v>
      </x:c>
      <x:c r="V86" s="41" t="n">
        <x:v>34</x:v>
      </x:c>
      <x:c r="W86" s="49" t="n">
        <x:f>V86/100*'Assumptions'!$B$9</x:f>
        <x:v>0.119</x:v>
      </x:c>
      <x:c r="X86" s="49" t="n">
        <x:f>MIN('Assumptions'!$B$11,V86/100*'Assumptions'!$B$10)</x:f>
        <x:v>0.26520000000000005</x:v>
      </x:c>
      <x:c r="Y86" s="41" t="n">
        <x:v>82</x:v>
      </x:c>
      <x:c r="Z86" s="41" t="n">
        <x:v>48</x:v>
      </x:c>
      <x:c r="AA86" s="50" t="n">
        <x:f>K86*O86*Q86</x:f>
        <x:v>7386.587999999999</x:v>
      </x:c>
      <x:c r="AB86" s="50" t="n">
        <x:f>L86*O86*Q86</x:f>
        <x:v>13430.159999999998</x:v>
      </x:c>
      <x:c r="AC86" s="50" t="n">
        <x:f>M86*O86*Q86</x:f>
        <x:v>24174.287999999997</x:v>
      </x:c>
      <x:c r="AD86" s="50" t="n">
        <x:f>AB86*N86</x:f>
        <x:v>80580.95999999999</x:v>
      </x:c>
      <x:c r="AE86" s="50" t="n">
        <x:f>MAX(0,N86*(AB86*W86-S86*O86-T86))</x:f>
        <x:v>931.0382399999994</x:v>
      </x:c>
      <x:c r="AF86" s="50" t="n">
        <x:f>MAX(0,N86*(AB86*X86-S86*O86-T86))</x:f>
        <x:v>12711.974592</x:v>
      </x:c>
      <x:c r="AG86" s="47" t="n">
        <x:f>(RANK.EQ(AD86,$AD$5:$AD$157,1)-1)/(COUNT($AD$5:$AD$157)-1)*100</x:f>
        <x:v>48.68421052631579</x:v>
      </x:c>
      <x:c r="AH86" s="47" t="n">
        <x:f>MAX(0,MIN(100,AG86*'Assumptions'!$B$5+V86*'Assumptions'!$B$6+Y86*'Assumptions'!$B$7+Z86*'Assumptions'!$B$8-(Q86-1)*'Assumptions'!$B$12))</x:f>
        <x:v>52.47105263157895</x:v>
      </x:c>
      <x:c r="AI86" s="51" t="str">
        <x:v>Low</x:v>
      </x:c>
      <x:c r="AJ86" s="51" t="str">
        <x:v>Specialists lack agents that can operate domain tools, preserve provenance, and reproduce results.</x:v>
      </x:c>
      <x:c r="AK86" s="53" t="str">
        <x:f>IF(AND(AH86&gt;=75,V86&gt;=65,Z86&gt;=60),"Build now",IF(AND(AH86&gt;=60,V86&gt;=50),"Validate next",IF(AH86&gt;=50,"Partner or monitor","Deprioritize")))</x:f>
        <x:v>Partner or monitor</x:v>
      </x:c>
      <x:c r="AL86" s="51" t="str">
        <x:v>Bounded agents can complete standard cases with mandatory review.</x:v>
      </x:c>
      <x:c r="AM86" s="51" t="str">
        <x:v>/Users/jaibhagat/code/prismml/agents-last-exam/tasks/computing_math/synthetic_causal_structure_inference/task_card.json</x:v>
      </x:c>
    </x:row>
    <x:row r="87">
      <x:c r="A87" s="40" t="n">
        <x:f>COUNTIF($AH$5:$AH$157,"&gt;"&amp;AH87)+COUNTIF($AH$5:AH87,AH87)</x:f>
        <x:v>86</x:v>
      </x:c>
      <x:c r="B87" s="51" t="str">
        <x:v>physical_sciences/hst_acs_wfc_visit_reduction</x:v>
      </x:c>
      <x:c r="C87" s="51" t="str">
        <x:v>HST ACS/WFC Visit Reduction</x:v>
      </x:c>
      <x:c r="D87" s="51" t="str">
        <x:v>physical_sciences</x:v>
      </x:c>
      <x:c r="E87" s="51" t="str">
        <x:v>Astronomy &amp; Astrophysics</x:v>
      </x:c>
      <x:c r="F87" s="51" t="str">
        <x:v>Software and data engineering</x:v>
      </x:c>
      <x:c r="G87" s="51" t="str">
        <x:v>Computational scientist</x:v>
      </x:c>
      <x:c r="H87" s="51" t="str">
        <x:v>Professional and related</x:v>
      </x:c>
      <x:c r="I87" s="52" t="n">
        <x:v>1.25</x:v>
      </x:c>
      <x:c r="J87" s="51" t="str">
        <x:v>Structured data artifact</x:v>
      </x:c>
      <x:c r="K87" s="43" t="n">
        <x:v>26</x:v>
      </x:c>
      <x:c r="L87" s="43" t="n">
        <x:v>48</x:v>
      </x:c>
      <x:c r="M87" s="43" t="n">
        <x:v>86</x:v>
      </x:c>
      <x:c r="N87" s="43" t="n">
        <x:v>10</x:v>
      </x:c>
      <x:c r="O87" s="44" t="n">
        <x:f>INDEX('Assumptions'!$B$24:$B$29,MATCH(H87,'Assumptions'!$A$24:$A$29,0))*I87</x:f>
        <x:v>91.2375</x:v>
      </x:c>
      <x:c r="P87" s="41" t="str">
        <x:v>Medium</x:v>
      </x:c>
      <x:c r="Q87" s="45" t="n">
        <x:f>INDEX('Assumptions'!$B$18:$B$21,MATCH(P87,'Assumptions'!$A$18:$A$21,0))</x:f>
        <x:v>1.25</x:v>
      </x:c>
      <x:c r="R87" s="46" t="n">
        <x:v>0.18</x:v>
      </x:c>
      <x:c r="S87" s="47" t="n">
        <x:f>L87*R87</x:f>
        <x:v>8.64</x:v>
      </x:c>
      <x:c r="T87" s="48" t="n">
        <x:v>20</x:v>
      </x:c>
      <x:c r="U87" s="41" t="n">
        <x:v>4</x:v>
      </x:c>
      <x:c r="V87" s="41" t="n">
        <x:v>64</x:v>
      </x:c>
      <x:c r="W87" s="49" t="n">
        <x:f>V87/100*'Assumptions'!$B$9</x:f>
        <x:v>0.22399999999999998</x:v>
      </x:c>
      <x:c r="X87" s="49" t="n">
        <x:f>MIN('Assumptions'!$B$11,V87/100*'Assumptions'!$B$10)</x:f>
        <x:v>0.49920000000000003</x:v>
      </x:c>
      <x:c r="Y87" s="41" t="n">
        <x:v>56</x:v>
      </x:c>
      <x:c r="Z87" s="41" t="n">
        <x:v>71</x:v>
      </x:c>
      <x:c r="AA87" s="50" t="n">
        <x:f>K87*O87*Q87</x:f>
        <x:v>2965.2187499999995</x:v>
      </x:c>
      <x:c r="AB87" s="50" t="n">
        <x:f>L87*O87*Q87</x:f>
        <x:v>5474.25</x:v>
      </x:c>
      <x:c r="AC87" s="50" t="n">
        <x:f>M87*O87*Q87</x:f>
        <x:v>9808.03125</x:v>
      </x:c>
      <x:c r="AD87" s="50" t="n">
        <x:f>AB87*N87</x:f>
        <x:v>54742.5</x:v>
      </x:c>
      <x:c r="AE87" s="50" t="n">
        <x:f>MAX(0,N87*(AB87*W87-S87*O87-T87))</x:f>
        <x:v>4179.4</x:v>
      </x:c>
      <x:c r="AF87" s="50" t="n">
        <x:f>MAX(0,N87*(AB87*X87-S87*O87-T87))</x:f>
        <x:v>19244.536000000004</x:v>
      </x:c>
      <x:c r="AG87" s="47" t="n">
        <x:f>(RANK.EQ(AD87,$AD$5:$AD$157,1)-1)/(COUNT($AD$5:$AD$157)-1)*100</x:f>
        <x:v>20.394736842105264</x:v>
      </x:c>
      <x:c r="AH87" s="47" t="n">
        <x:f>MAX(0,MIN(100,AG87*'Assumptions'!$B$5+V87*'Assumptions'!$B$6+Y87*'Assumptions'!$B$7+Z87*'Assumptions'!$B$8-(Q87-1)*'Assumptions'!$B$12))</x:f>
        <x:v>50.49868421052632</x:v>
      </x:c>
      <x:c r="AI87" s="51" t="str">
        <x:v>Low</x:v>
      </x:c>
      <x:c r="AJ87" s="51" t="str">
        <x:v>The gap is verified repair and migration inside constrained environments, with evidence that changes work.</x:v>
      </x:c>
      <x:c r="AK87" s="53" t="str">
        <x:f>IF(AND(AH87&gt;=75,V87&gt;=65,Z87&gt;=60),"Build now",IF(AND(AH87&gt;=60,V87&gt;=50),"Validate next",IF(AH87&gt;=50,"Partner or monitor","Deprioritize")))</x:f>
        <x:v>Partner or monitor</x:v>
      </x:c>
      <x:c r="AL87" s="51" t="str">
        <x:v>Production automation is feasible for standard cases with exception routing.</x:v>
      </x:c>
      <x:c r="AM87" s="51" t="str">
        <x:v>/Users/jaibhagat/code/prismml/agents-last-exam/tasks/physical_sciences/hst_acs_wfc_visit_reduction/task_card.json</x:v>
      </x:c>
    </x:row>
    <x:row r="88">
      <x:c r="A88" s="40" t="n">
        <x:f>COUNTIF($AH$5:$AH$157,"&gt;"&amp;AH88)+COUNTIF($AH$5:AH88,AH88)</x:f>
        <x:v>84</x:v>
      </x:c>
      <x:c r="B88" s="51" t="str">
        <x:v>life_sciences/genomic_interval_processing_1</x:v>
      </x:c>
      <x:c r="C88" s="51" t="str">
        <x:v>ENCODE CTCF Union Peak Intervals</x:v>
      </x:c>
      <x:c r="D88" s="51" t="str">
        <x:v>life_sciences</x:v>
      </x:c>
      <x:c r="E88" s="51" t="str">
        <x:v>Genomics &amp; Sequence Analysis</x:v>
      </x:c>
      <x:c r="F88" s="51" t="str">
        <x:v>Software and data engineering</x:v>
      </x:c>
      <x:c r="G88" s="51" t="str">
        <x:v>Bioinformatics or life-science researcher</x:v>
      </x:c>
      <x:c r="H88" s="51" t="str">
        <x:v>Professional and related</x:v>
      </x:c>
      <x:c r="I88" s="52" t="n">
        <x:v>1.25</x:v>
      </x:c>
      <x:c r="J88" s="51" t="str">
        <x:v>Structured data artifact</x:v>
      </x:c>
      <x:c r="K88" s="43" t="n">
        <x:v>26</x:v>
      </x:c>
      <x:c r="L88" s="43" t="n">
        <x:v>48</x:v>
      </x:c>
      <x:c r="M88" s="43" t="n">
        <x:v>86</x:v>
      </x:c>
      <x:c r="N88" s="43" t="n">
        <x:v>10</x:v>
      </x:c>
      <x:c r="O88" s="44" t="n">
        <x:f>INDEX('Assumptions'!$B$24:$B$29,MATCH(H88,'Assumptions'!$A$24:$A$29,0))*I88</x:f>
        <x:v>91.2375</x:v>
      </x:c>
      <x:c r="P88" s="41" t="str">
        <x:v>Medium</x:v>
      </x:c>
      <x:c r="Q88" s="45" t="n">
        <x:f>INDEX('Assumptions'!$B$18:$B$21,MATCH(P88,'Assumptions'!$A$18:$A$21,0))</x:f>
        <x:v>1.25</x:v>
      </x:c>
      <x:c r="R88" s="46" t="n">
        <x:v>0.18</x:v>
      </x:c>
      <x:c r="S88" s="47" t="n">
        <x:f>L88*R88</x:f>
        <x:v>8.64</x:v>
      </x:c>
      <x:c r="T88" s="48" t="n">
        <x:v>20</x:v>
      </x:c>
      <x:c r="U88" s="41" t="n">
        <x:v>4</x:v>
      </x:c>
      <x:c r="V88" s="41" t="n">
        <x:v>64</x:v>
      </x:c>
      <x:c r="W88" s="49" t="n">
        <x:f>V88/100*'Assumptions'!$B$9</x:f>
        <x:v>0.22399999999999998</x:v>
      </x:c>
      <x:c r="X88" s="49" t="n">
        <x:f>MIN('Assumptions'!$B$11,V88/100*'Assumptions'!$B$10)</x:f>
        <x:v>0.49920000000000003</x:v>
      </x:c>
      <x:c r="Y88" s="41" t="n">
        <x:v>56</x:v>
      </x:c>
      <x:c r="Z88" s="41" t="n">
        <x:v>76</x:v>
      </x:c>
      <x:c r="AA88" s="50" t="n">
        <x:f>K88*O88*Q88</x:f>
        <x:v>2965.2187499999995</x:v>
      </x:c>
      <x:c r="AB88" s="50" t="n">
        <x:f>L88*O88*Q88</x:f>
        <x:v>5474.25</x:v>
      </x:c>
      <x:c r="AC88" s="50" t="n">
        <x:f>M88*O88*Q88</x:f>
        <x:v>9808.03125</x:v>
      </x:c>
      <x:c r="AD88" s="50" t="n">
        <x:f>AB88*N88</x:f>
        <x:v>54742.5</x:v>
      </x:c>
      <x:c r="AE88" s="50" t="n">
        <x:f>MAX(0,N88*(AB88*W88-S88*O88-T88))</x:f>
        <x:v>4179.4</x:v>
      </x:c>
      <x:c r="AF88" s="50" t="n">
        <x:f>MAX(0,N88*(AB88*X88-S88*O88-T88))</x:f>
        <x:v>19244.536000000004</x:v>
      </x:c>
      <x:c r="AG88" s="47" t="n">
        <x:f>(RANK.EQ(AD88,$AD$5:$AD$157,1)-1)/(COUNT($AD$5:$AD$157)-1)*100</x:f>
        <x:v>20.394736842105264</x:v>
      </x:c>
      <x:c r="AH88" s="47" t="n">
        <x:f>MAX(0,MIN(100,AG88*'Assumptions'!$B$5+V88*'Assumptions'!$B$6+Y88*'Assumptions'!$B$7+Z88*'Assumptions'!$B$8-(Q88-1)*'Assumptions'!$B$12))</x:f>
        <x:v>51.49868421052632</x:v>
      </x:c>
      <x:c r="AI88" s="51" t="str">
        <x:v>Low</x:v>
      </x:c>
      <x:c r="AJ88" s="51" t="str">
        <x:v>The gap is verified repair and migration inside constrained environments, with evidence that changes work.</x:v>
      </x:c>
      <x:c r="AK88" s="53" t="str">
        <x:f>IF(AND(AH88&gt;=75,V88&gt;=65,Z88&gt;=60),"Build now",IF(AND(AH88&gt;=60,V88&gt;=50),"Validate next",IF(AH88&gt;=50,"Partner or monitor","Deprioritize")))</x:f>
        <x:v>Partner or monitor</x:v>
      </x:c>
      <x:c r="AL88" s="51" t="str">
        <x:v>Production automation is feasible for standard cases with exception routing.</x:v>
      </x:c>
      <x:c r="AM88" s="51" t="str">
        <x:v>/Users/jaibhagat/code/prismml/agents-last-exam/tasks/life_sciences/genomic_interval_processing_1/task_card.json</x:v>
      </x:c>
    </x:row>
    <x:row r="89">
      <x:c r="A89" s="40" t="n">
        <x:f>COUNTIF($AH$5:$AH$157,"&gt;"&amp;AH89)+COUNTIF($AH$5:AH89,AH89)</x:f>
        <x:v>83</x:v>
      </x:c>
      <x:c r="B89" s="51" t="str">
        <x:v>education_info/moodle_gradebook_closeout_reconciliation</x:v>
      </x:c>
      <x:c r="C89" s="51" t="str">
        <x:v>Moodle Gradebook Closeout Reconciliation</x:v>
      </x:c>
      <x:c r="D89" s="51" t="str">
        <x:v>education_info</x:v>
      </x:c>
      <x:c r="E89" s="51" t="str">
        <x:v>Educational Technology</x:v>
      </x:c>
      <x:c r="F89" s="51" t="str">
        <x:v>GUI and specialist application workflow</x:v>
      </x:c>
      <x:c r="G89" s="51" t="str">
        <x:v>Education or information specialist</x:v>
      </x:c>
      <x:c r="H89" s="51" t="str">
        <x:v>Professional and related</x:v>
      </x:c>
      <x:c r="I89" s="52" t="n">
        <x:v>1</x:v>
      </x:c>
      <x:c r="J89" s="51" t="str">
        <x:v>Structured data artifact</x:v>
      </x:c>
      <x:c r="K89" s="43" t="n">
        <x:v>40</x:v>
      </x:c>
      <x:c r="L89" s="43" t="n">
        <x:v>72</x:v>
      </x:c>
      <x:c r="M89" s="43" t="n">
        <x:v>130</x:v>
      </x:c>
      <x:c r="N89" s="43" t="n">
        <x:v>52</x:v>
      </x:c>
      <x:c r="O89" s="44" t="n">
        <x:f>INDEX('Assumptions'!$B$24:$B$29,MATCH(H89,'Assumptions'!$A$24:$A$29,0))*I89</x:f>
        <x:v>72.99</x:v>
      </x:c>
      <x:c r="P89" s="41" t="str">
        <x:v>Low</x:v>
      </x:c>
      <x:c r="Q89" s="45" t="n">
        <x:f>INDEX('Assumptions'!$B$18:$B$21,MATCH(P89,'Assumptions'!$A$18:$A$21,0))</x:f>
        <x:v>1</x:v>
      </x:c>
      <x:c r="R89" s="46" t="n">
        <x:v>0.1</x:v>
      </x:c>
      <x:c r="S89" s="47" t="n">
        <x:f>L89*R89</x:f>
        <x:v>7.2</x:v>
      </x:c>
      <x:c r="T89" s="48" t="n">
        <x:v>50</x:v>
      </x:c>
      <x:c r="U89" s="41" t="n">
        <x:v>3</x:v>
      </x:c>
      <x:c r="V89" s="41" t="n">
        <x:v>20</x:v>
      </x:c>
      <x:c r="W89" s="49" t="n">
        <x:f>V89/100*'Assumptions'!$B$9</x:f>
        <x:v>0.06999999999999999</x:v>
      </x:c>
      <x:c r="X89" s="49" t="n">
        <x:f>MIN('Assumptions'!$B$11,V89/100*'Assumptions'!$B$10)</x:f>
        <x:v>0.15600000000000003</x:v>
      </x:c>
      <x:c r="Y89" s="41" t="n">
        <x:v>56</x:v>
      </x:c>
      <x:c r="Z89" s="41" t="n">
        <x:v>42</x:v>
      </x:c>
      <x:c r="AA89" s="50" t="n">
        <x:f>K89*O89*Q89</x:f>
        <x:v>2919.6</x:v>
      </x:c>
      <x:c r="AB89" s="50" t="n">
        <x:f>L89*O89*Q89</x:f>
        <x:v>5255.28</x:v>
      </x:c>
      <x:c r="AC89" s="50" t="n">
        <x:f>M89*O89*Q89</x:f>
        <x:v>9488.699999999999</x:v>
      </x:c>
      <x:c r="AD89" s="50" t="n">
        <x:f>AB89*N89</x:f>
        <x:v>273274.56</x:v>
      </x:c>
      <x:c r="AE89" s="50" t="n">
        <x:f>MAX(0,N89*(AB89*W89-S89*O89-T89))</x:f>
        <x:v>0</x:v>
      </x:c>
      <x:c r="AF89" s="50" t="n">
        <x:f>MAX(0,N89*(AB89*X89-S89*O89-T89))</x:f>
        <x:v>12703.375360000004</x:v>
      </x:c>
      <x:c r="AG89" s="47" t="n">
        <x:f>(RANK.EQ(AD89,$AD$5:$AD$157,1)-1)/(COUNT($AD$5:$AD$157)-1)*100</x:f>
        <x:v>92.76315789473685</x:v>
      </x:c>
      <x:c r="AH89" s="47" t="n">
        <x:f>MAX(0,MIN(100,AG89*'Assumptions'!$B$5+V89*'Assumptions'!$B$6+Y89*'Assumptions'!$B$7+Z89*'Assumptions'!$B$8-(Q89-1)*'Assumptions'!$B$12))</x:f>
        <x:v>51.59078947368421</x:v>
      </x:c>
      <x:c r="AI89" s="51" t="str">
        <x:v>Low</x:v>
      </x:c>
      <x:c r="AJ89" s="51" t="str">
        <x:v>Professional desktop applications remain difficult for agents because state, files, and visual QA must stay synchronized.</x:v>
      </x:c>
      <x:c r="AK89" s="53" t="str">
        <x:f>IF(AND(AH89&gt;=75,V89&gt;=65,Z89&gt;=60),"Build now",IF(AND(AH89&gt;=60,V89&gt;=50),"Validate next",IF(AH89&gt;=50,"Partner or monitor","Deprioritize")))</x:f>
        <x:v>Partner or monitor</x:v>
      </x:c>
      <x:c r="AL89" s="51" t="str">
        <x:v>Bounded agents can complete standard cases with mandatory review. Application control and visual QA are major blockers.</x:v>
      </x:c>
      <x:c r="AM89" s="51" t="str">
        <x:v>/Users/jaibhagat/code/prismml/agents-last-exam/tasks/education_info/moodle_gradebook_closeout_reconciliation/task_card.json</x:v>
      </x:c>
    </x:row>
    <x:row r="90">
      <x:c r="A90" s="40" t="n">
        <x:f>COUNTIF($AH$5:$AH$157,"&gt;"&amp;AH90)+COUNTIF($AH$5:AH90,AH90)</x:f>
        <x:v>85</x:v>
      </x:c>
      <x:c r="B90" s="51" t="str">
        <x:v>computing_math/particle_filter_nonlinear_tracking</x:v>
      </x:c>
      <x:c r="C90" s="51" t="str">
        <x:v>Particle Filter Nonlinear Tracking</x:v>
      </x:c>
      <x:c r="D90" s="51" t="str">
        <x:v>computing_math</x:v>
      </x:c>
      <x:c r="E90" s="51" t="str">
        <x:v>Mathematical &amp; Operations Research</x:v>
      </x:c>
      <x:c r="F90" s="51" t="str">
        <x:v>Scientific modeling and computation</x:v>
      </x:c>
      <x:c r="G90" s="51" t="str">
        <x:v>Software engineer or data scientist</x:v>
      </x:c>
      <x:c r="H90" s="51" t="str">
        <x:v>Professional and related</x:v>
      </x:c>
      <x:c r="I90" s="52" t="n">
        <x:v>1.15</x:v>
      </x:c>
      <x:c r="J90" s="51" t="str">
        <x:v>Structured data artifact</x:v>
      </x:c>
      <x:c r="K90" s="43" t="n">
        <x:v>66</x:v>
      </x:c>
      <x:c r="L90" s="43" t="n">
        <x:v>120</x:v>
      </x:c>
      <x:c r="M90" s="43" t="n">
        <x:v>216</x:v>
      </x:c>
      <x:c r="N90" s="43" t="n">
        <x:v>6</x:v>
      </x:c>
      <x:c r="O90" s="44" t="n">
        <x:f>INDEX('Assumptions'!$B$24:$B$29,MATCH(H90,'Assumptions'!$A$24:$A$29,0))*I90</x:f>
        <x:v>83.93849999999999</x:v>
      </x:c>
      <x:c r="P90" s="41" t="str">
        <x:v>Low</x:v>
      </x:c>
      <x:c r="Q90" s="45" t="n">
        <x:f>INDEX('Assumptions'!$B$18:$B$21,MATCH(P90,'Assumptions'!$A$18:$A$21,0))</x:f>
        <x:v>1</x:v>
      </x:c>
      <x:c r="R90" s="46" t="n">
        <x:v>0.1</x:v>
      </x:c>
      <x:c r="S90" s="47" t="n">
        <x:f>L90*R90</x:f>
        <x:v>12</x:v>
      </x:c>
      <x:c r="T90" s="48" t="n">
        <x:v>100</x:v>
      </x:c>
      <x:c r="U90" s="41" t="n">
        <x:v>3</x:v>
      </x:c>
      <x:c r="V90" s="41" t="n">
        <x:v>42</x:v>
      </x:c>
      <x:c r="W90" s="49" t="n">
        <x:f>V90/100*'Assumptions'!$B$9</x:f>
        <x:v>0.147</x:v>
      </x:c>
      <x:c r="X90" s="49" t="n">
        <x:f>MIN('Assumptions'!$B$11,V90/100*'Assumptions'!$B$10)</x:f>
        <x:v>0.3276</x:v>
      </x:c>
      <x:c r="Y90" s="41" t="n">
        <x:v>76</x:v>
      </x:c>
      <x:c r="Z90" s="41" t="n">
        <x:v>58</x:v>
      </x:c>
      <x:c r="AA90" s="50" t="n">
        <x:f>K90*O90*Q90</x:f>
        <x:v>5539.941</x:v>
      </x:c>
      <x:c r="AB90" s="50" t="n">
        <x:f>L90*O90*Q90</x:f>
        <x:v>10072.619999999999</x:v>
      </x:c>
      <x:c r="AC90" s="50" t="n">
        <x:f>M90*O90*Q90</x:f>
        <x:v>18130.715999999997</x:v>
      </x:c>
      <x:c r="AD90" s="50" t="n">
        <x:f>AB90*N90</x:f>
        <x:v>60435.719999999994</x:v>
      </x:c>
      <x:c r="AE90" s="50" t="n">
        <x:f>MAX(0,N90*(AB90*W90-S90*O90-T90))</x:f>
        <x:v>2240.4788399999993</x:v>
      </x:c>
      <x:c r="AF90" s="50" t="n">
        <x:f>MAX(0,N90*(AB90*X90-S90*O90-T90))</x:f>
        <x:v>13155.169871999997</x:v>
      </x:c>
      <x:c r="AG90" s="47" t="n">
        <x:f>(RANK.EQ(AD90,$AD$5:$AD$157,1)-1)/(COUNT($AD$5:$AD$157)-1)*100</x:f>
        <x:v>30.92105263157895</x:v>
      </x:c>
      <x:c r="AH90" s="47" t="n">
        <x:f>MAX(0,MIN(100,AG90*'Assumptions'!$B$5+V90*'Assumptions'!$B$6+Y90*'Assumptions'!$B$7+Z90*'Assumptions'!$B$8-(Q90-1)*'Assumptions'!$B$12))</x:f>
        <x:v>50.930263157894736</x:v>
      </x:c>
      <x:c r="AI90" s="51" t="str">
        <x:v>Low</x:v>
      </x:c>
      <x:c r="AJ90" s="51" t="str">
        <x:v>Specialists lack agents that can operate domain tools, preserve provenance, and reproduce results.</x:v>
      </x:c>
      <x:c r="AK90" s="53" t="str">
        <x:f>IF(AND(AH90&gt;=75,V90&gt;=65,Z90&gt;=60),"Build now",IF(AND(AH90&gt;=60,V90&gt;=50),"Validate next",IF(AH90&gt;=50,"Partner or monitor","Deprioritize")))</x:f>
        <x:v>Partner or monitor</x:v>
      </x:c>
      <x:c r="AL90" s="51" t="str">
        <x:v>Bounded agents can complete standard cases with mandatory review.</x:v>
      </x:c>
      <x:c r="AM90" s="51" t="str">
        <x:v>/Users/jaibhagat/code/prismml/agents-last-exam/tasks/computing_math/particle_filter_nonlinear_tracking/task_card.json</x:v>
      </x:c>
    </x:row>
    <x:row r="91">
      <x:c r="A91" s="40" t="n">
        <x:f>COUNTIF($AH$5:$AH$157,"&gt;"&amp;AH91)+COUNTIF($AH$5:AH91,AH91)</x:f>
        <x:v>90</x:v>
      </x:c>
      <x:c r="B91" s="51" t="str">
        <x:v>physical_sciences/gillespie_gene_regulatory_network</x:v>
      </x:c>
      <x:c r="C91" s="51" t="str">
        <x:v>Gillespie SSA For A Tristable Gene Regulatory Network</x:v>
      </x:c>
      <x:c r="D91" s="51" t="str">
        <x:v>physical_sciences</x:v>
      </x:c>
      <x:c r="E91" s="51" t="str">
        <x:v>Systems &amp; Microbial Biology</x:v>
      </x:c>
      <x:c r="F91" s="51" t="str">
        <x:v>Scientific modeling and computation</x:v>
      </x:c>
      <x:c r="G91" s="51" t="str">
        <x:v>Computational scientist</x:v>
      </x:c>
      <x:c r="H91" s="51" t="str">
        <x:v>Professional and related</x:v>
      </x:c>
      <x:c r="I91" s="52" t="n">
        <x:v>1.25</x:v>
      </x:c>
      <x:c r="J91" s="51" t="str">
        <x:v>Structured data artifact</x:v>
      </x:c>
      <x:c r="K91" s="43" t="n">
        <x:v>44</x:v>
      </x:c>
      <x:c r="L91" s="43" t="n">
        <x:v>80</x:v>
      </x:c>
      <x:c r="M91" s="43" t="n">
        <x:v>144</x:v>
      </x:c>
      <x:c r="N91" s="43" t="n">
        <x:v>6</x:v>
      </x:c>
      <x:c r="O91" s="44" t="n">
        <x:f>INDEX('Assumptions'!$B$24:$B$29,MATCH(H91,'Assumptions'!$A$24:$A$29,0))*I91</x:f>
        <x:v>91.2375</x:v>
      </x:c>
      <x:c r="P91" s="41" t="str">
        <x:v>Medium</x:v>
      </x:c>
      <x:c r="Q91" s="45" t="n">
        <x:f>INDEX('Assumptions'!$B$18:$B$21,MATCH(P91,'Assumptions'!$A$18:$A$21,0))</x:f>
        <x:v>1.25</x:v>
      </x:c>
      <x:c r="R91" s="46" t="n">
        <x:v>0.18</x:v>
      </x:c>
      <x:c r="S91" s="47" t="n">
        <x:f>L91*R91</x:f>
        <x:v>14.399999999999999</x:v>
      </x:c>
      <x:c r="T91" s="48" t="n">
        <x:v>100</x:v>
      </x:c>
      <x:c r="U91" s="41" t="n">
        <x:v>3</x:v>
      </x:c>
      <x:c r="V91" s="41" t="n">
        <x:v>50</x:v>
      </x:c>
      <x:c r="W91" s="49" t="n">
        <x:f>V91/100*'Assumptions'!$B$9</x:f>
        <x:v>0.175</x:v>
      </x:c>
      <x:c r="X91" s="49" t="n">
        <x:f>MIN('Assumptions'!$B$11,V91/100*'Assumptions'!$B$10)</x:f>
        <x:v>0.39</x:v>
      </x:c>
      <x:c r="Y91" s="41" t="n">
        <x:v>84</x:v>
      </x:c>
      <x:c r="Z91" s="41" t="n">
        <x:v>53</x:v>
      </x:c>
      <x:c r="AA91" s="50" t="n">
        <x:f>K91*O91*Q91</x:f>
        <x:v>5018.0625</x:v>
      </x:c>
      <x:c r="AB91" s="50" t="n">
        <x:f>L91*O91*Q91</x:f>
        <x:v>9123.75</x:v>
      </x:c>
      <x:c r="AC91" s="50" t="n">
        <x:f>M91*O91*Q91</x:f>
        <x:v>16422.75</x:v>
      </x:c>
      <x:c r="AD91" s="50" t="n">
        <x:f>AB91*N91</x:f>
        <x:v>54742.5</x:v>
      </x:c>
      <x:c r="AE91" s="50" t="n">
        <x:f>MAX(0,N91*(AB91*W91-S91*O91-T91))</x:f>
        <x:v>1097.0175000000004</x:v>
      </x:c>
      <x:c r="AF91" s="50" t="n">
        <x:f>MAX(0,N91*(AB91*X91-S91*O91-T91))</x:f>
        <x:v>12866.655</x:v>
      </x:c>
      <x:c r="AG91" s="47" t="n">
        <x:f>(RANK.EQ(AD91,$AD$5:$AD$157,1)-1)/(COUNT($AD$5:$AD$157)-1)*100</x:f>
        <x:v>20.394736842105264</x:v>
      </x:c>
      <x:c r="AH91" s="47" t="n">
        <x:f>MAX(0,MIN(100,AG91*'Assumptions'!$B$5+V91*'Assumptions'!$B$6+Y91*'Assumptions'!$B$7+Z91*'Assumptions'!$B$8-(Q91-1)*'Assumptions'!$B$12))</x:f>
        <x:v>49.69868421052632</x:v>
      </x:c>
      <x:c r="AI91" s="51" t="str">
        <x:v>Low</x:v>
      </x:c>
      <x:c r="AJ91" s="51" t="str">
        <x:v>Specialists lack agents that can operate domain tools, preserve provenance, and reproduce results.</x:v>
      </x:c>
      <x:c r="AK91" s="53" t="str">
        <x:f>IF(AND(AH91&gt;=75,V91&gt;=65,Z91&gt;=60),"Build now",IF(AND(AH91&gt;=60,V91&gt;=50),"Validate next",IF(AH91&gt;=50,"Partner or monitor","Deprioritize")))</x:f>
        <x:v>Deprioritize</x:v>
      </x:c>
      <x:c r="AL91" s="51" t="str">
        <x:v>Bounded agents can complete standard cases with mandatory review.</x:v>
      </x:c>
      <x:c r="AM91" s="51" t="str">
        <x:v>/Users/jaibhagat/code/prismml/agents-last-exam/tasks/physical_sciences/gillespie_gene_regulatory_network/task_card.json</x:v>
      </x:c>
    </x:row>
    <x:row r="92">
      <x:c r="A92" s="40" t="n">
        <x:f>COUNTIF($AH$5:$AH$157,"&gt;"&amp;AH92)+COUNTIF($AH$5:AH92,AH92)</x:f>
        <x:v>87</x:v>
      </x:c>
      <x:c r="B92" s="51" t="str">
        <x:v>life_sciences/idp_ensemble_scoring</x:v>
      </x:c>
      <x:c r="C92" s="51" t="str">
        <x:v>IDP Ensemble Scoring with Given Open-Source Tools</x:v>
      </x:c>
      <x:c r="D92" s="51" t="str">
        <x:v>life_sciences</x:v>
      </x:c>
      <x:c r="E92" s="51" t="str">
        <x:v>Biomolecular Structure &amp; Design</x:v>
      </x:c>
      <x:c r="F92" s="51" t="str">
        <x:v>Software and data engineering</x:v>
      </x:c>
      <x:c r="G92" s="51" t="str">
        <x:v>Bioinformatics or life-science researcher</x:v>
      </x:c>
      <x:c r="H92" s="51" t="str">
        <x:v>Professional and related</x:v>
      </x:c>
      <x:c r="I92" s="52" t="n">
        <x:v>1.25</x:v>
      </x:c>
      <x:c r="J92" s="51" t="str">
        <x:v>Structured data artifact</x:v>
      </x:c>
      <x:c r="K92" s="43" t="n">
        <x:v>26</x:v>
      </x:c>
      <x:c r="L92" s="43" t="n">
        <x:v>48</x:v>
      </x:c>
      <x:c r="M92" s="43" t="n">
        <x:v>86</x:v>
      </x:c>
      <x:c r="N92" s="43" t="n">
        <x:v>10</x:v>
      </x:c>
      <x:c r="O92" s="44" t="n">
        <x:f>INDEX('Assumptions'!$B$24:$B$29,MATCH(H92,'Assumptions'!$A$24:$A$29,0))*I92</x:f>
        <x:v>91.2375</x:v>
      </x:c>
      <x:c r="P92" s="41" t="str">
        <x:v>Medium</x:v>
      </x:c>
      <x:c r="Q92" s="45" t="n">
        <x:f>INDEX('Assumptions'!$B$18:$B$21,MATCH(P92,'Assumptions'!$A$18:$A$21,0))</x:f>
        <x:v>1.25</x:v>
      </x:c>
      <x:c r="R92" s="46" t="n">
        <x:v>0.18</x:v>
      </x:c>
      <x:c r="S92" s="47" t="n">
        <x:f>L92*R92</x:f>
        <x:v>8.64</x:v>
      </x:c>
      <x:c r="T92" s="48" t="n">
        <x:v>20</x:v>
      </x:c>
      <x:c r="U92" s="41" t="n">
        <x:v>4</x:v>
      </x:c>
      <x:c r="V92" s="41" t="n">
        <x:v>64</x:v>
      </x:c>
      <x:c r="W92" s="49" t="n">
        <x:f>V92/100*'Assumptions'!$B$9</x:f>
        <x:v>0.22399999999999998</x:v>
      </x:c>
      <x:c r="X92" s="49" t="n">
        <x:f>MIN('Assumptions'!$B$11,V92/100*'Assumptions'!$B$10)</x:f>
        <x:v>0.49920000000000003</x:v>
      </x:c>
      <x:c r="Y92" s="41" t="n">
        <x:v>56</x:v>
      </x:c>
      <x:c r="Z92" s="41" t="n">
        <x:v>71</x:v>
      </x:c>
      <x:c r="AA92" s="50" t="n">
        <x:f>K92*O92*Q92</x:f>
        <x:v>2965.2187499999995</x:v>
      </x:c>
      <x:c r="AB92" s="50" t="n">
        <x:f>L92*O92*Q92</x:f>
        <x:v>5474.25</x:v>
      </x:c>
      <x:c r="AC92" s="50" t="n">
        <x:f>M92*O92*Q92</x:f>
        <x:v>9808.03125</x:v>
      </x:c>
      <x:c r="AD92" s="50" t="n">
        <x:f>AB92*N92</x:f>
        <x:v>54742.5</x:v>
      </x:c>
      <x:c r="AE92" s="50" t="n">
        <x:f>MAX(0,N92*(AB92*W92-S92*O92-T92))</x:f>
        <x:v>4179.4</x:v>
      </x:c>
      <x:c r="AF92" s="50" t="n">
        <x:f>MAX(0,N92*(AB92*X92-S92*O92-T92))</x:f>
        <x:v>19244.536000000004</x:v>
      </x:c>
      <x:c r="AG92" s="47" t="n">
        <x:f>(RANK.EQ(AD92,$AD$5:$AD$157,1)-1)/(COUNT($AD$5:$AD$157)-1)*100</x:f>
        <x:v>20.394736842105264</x:v>
      </x:c>
      <x:c r="AH92" s="47" t="n">
        <x:f>MAX(0,MIN(100,AG92*'Assumptions'!$B$5+V92*'Assumptions'!$B$6+Y92*'Assumptions'!$B$7+Z92*'Assumptions'!$B$8-(Q92-1)*'Assumptions'!$B$12))</x:f>
        <x:v>50.49868421052632</x:v>
      </x:c>
      <x:c r="AI92" s="51" t="str">
        <x:v>Low</x:v>
      </x:c>
      <x:c r="AJ92" s="51" t="str">
        <x:v>The gap is verified repair and migration inside constrained environments, with evidence that changes work.</x:v>
      </x:c>
      <x:c r="AK92" s="53" t="str">
        <x:f>IF(AND(AH92&gt;=75,V92&gt;=65,Z92&gt;=60),"Build now",IF(AND(AH92&gt;=60,V92&gt;=50),"Validate next",IF(AH92&gt;=50,"Partner or monitor","Deprioritize")))</x:f>
        <x:v>Partner or monitor</x:v>
      </x:c>
      <x:c r="AL92" s="51" t="str">
        <x:v>Production automation is feasible for standard cases with exception routing.</x:v>
      </x:c>
      <x:c r="AM92" s="51" t="str">
        <x:v>/Users/jaibhagat/code/prismml/agents-last-exam/tasks/life_sciences/idp_ensemble_scoring/task_card.json</x:v>
      </x:c>
    </x:row>
    <x:row r="93">
      <x:c r="A93" s="40" t="n">
        <x:f>COUNTIF($AH$5:$AH$157,"&gt;"&amp;AH93)+COUNTIF($AH$5:AH93,AH93)</x:f>
        <x:v>94</x:v>
      </x:c>
      <x:c r="B93" s="51" t="str">
        <x:v>physical_sciences/phonon_dispersion_thermodynamics</x:v>
      </x:c>
      <x:c r="C93" s="51" t="str">
        <x:v>2D Hexagonal Lattice Phonon Dispersion And Thermodynamics</x:v>
      </x:c>
      <x:c r="D93" s="51" t="str">
        <x:v>physical_sciences</x:v>
      </x:c>
      <x:c r="E93" s="51" t="str">
        <x:v>Physics</x:v>
      </x:c>
      <x:c r="F93" s="51" t="str">
        <x:v>Scientific modeling and computation</x:v>
      </x:c>
      <x:c r="G93" s="51" t="str">
        <x:v>Computational scientist</x:v>
      </x:c>
      <x:c r="H93" s="51" t="str">
        <x:v>Professional and related</x:v>
      </x:c>
      <x:c r="I93" s="52" t="n">
        <x:v>1.25</x:v>
      </x:c>
      <x:c r="J93" s="51" t="str">
        <x:v>Structured data artifact</x:v>
      </x:c>
      <x:c r="K93" s="43" t="n">
        <x:v>44</x:v>
      </x:c>
      <x:c r="L93" s="43" t="n">
        <x:v>80</x:v>
      </x:c>
      <x:c r="M93" s="43" t="n">
        <x:v>144</x:v>
      </x:c>
      <x:c r="N93" s="43" t="n">
        <x:v>6</x:v>
      </x:c>
      <x:c r="O93" s="44" t="n">
        <x:f>INDEX('Assumptions'!$B$24:$B$29,MATCH(H93,'Assumptions'!$A$24:$A$29,0))*I93</x:f>
        <x:v>91.2375</x:v>
      </x:c>
      <x:c r="P93" s="41" t="str">
        <x:v>Medium</x:v>
      </x:c>
      <x:c r="Q93" s="45" t="n">
        <x:f>INDEX('Assumptions'!$B$18:$B$21,MATCH(P93,'Assumptions'!$A$18:$A$21,0))</x:f>
        <x:v>1.25</x:v>
      </x:c>
      <x:c r="R93" s="46" t="n">
        <x:v>0.18</x:v>
      </x:c>
      <x:c r="S93" s="47" t="n">
        <x:f>L93*R93</x:f>
        <x:v>14.399999999999999</x:v>
      </x:c>
      <x:c r="T93" s="48" t="n">
        <x:v>100</x:v>
      </x:c>
      <x:c r="U93" s="41" t="n">
        <x:v>3</x:v>
      </x:c>
      <x:c r="V93" s="41" t="n">
        <x:v>50</x:v>
      </x:c>
      <x:c r="W93" s="49" t="n">
        <x:f>V93/100*'Assumptions'!$B$9</x:f>
        <x:v>0.175</x:v>
      </x:c>
      <x:c r="X93" s="49" t="n">
        <x:f>MIN('Assumptions'!$B$11,V93/100*'Assumptions'!$B$10)</x:f>
        <x:v>0.39</x:v>
      </x:c>
      <x:c r="Y93" s="41" t="n">
        <x:v>76</x:v>
      </x:c>
      <x:c r="Z93" s="41" t="n">
        <x:v>58</x:v>
      </x:c>
      <x:c r="AA93" s="50" t="n">
        <x:f>K93*O93*Q93</x:f>
        <x:v>5018.0625</x:v>
      </x:c>
      <x:c r="AB93" s="50" t="n">
        <x:f>L93*O93*Q93</x:f>
        <x:v>9123.75</x:v>
      </x:c>
      <x:c r="AC93" s="50" t="n">
        <x:f>M93*O93*Q93</x:f>
        <x:v>16422.75</x:v>
      </x:c>
      <x:c r="AD93" s="50" t="n">
        <x:f>AB93*N93</x:f>
        <x:v>54742.5</x:v>
      </x:c>
      <x:c r="AE93" s="50" t="n">
        <x:f>MAX(0,N93*(AB93*W93-S93*O93-T93))</x:f>
        <x:v>1097.0175000000004</x:v>
      </x:c>
      <x:c r="AF93" s="50" t="n">
        <x:f>MAX(0,N93*(AB93*X93-S93*O93-T93))</x:f>
        <x:v>12866.655</x:v>
      </x:c>
      <x:c r="AG93" s="47" t="n">
        <x:f>(RANK.EQ(AD93,$AD$5:$AD$157,1)-1)/(COUNT($AD$5:$AD$157)-1)*100</x:f>
        <x:v>20.394736842105264</x:v>
      </x:c>
      <x:c r="AH93" s="47" t="n">
        <x:f>MAX(0,MIN(100,AG93*'Assumptions'!$B$5+V93*'Assumptions'!$B$6+Y93*'Assumptions'!$B$7+Z93*'Assumptions'!$B$8-(Q93-1)*'Assumptions'!$B$12))</x:f>
        <x:v>48.69868421052632</x:v>
      </x:c>
      <x:c r="AI93" s="51" t="str">
        <x:v>Low</x:v>
      </x:c>
      <x:c r="AJ93" s="51" t="str">
        <x:v>Specialists lack agents that can operate domain tools, preserve provenance, and reproduce results.</x:v>
      </x:c>
      <x:c r="AK93" s="53" t="str">
        <x:f>IF(AND(AH93&gt;=75,V93&gt;=65,Z93&gt;=60),"Build now",IF(AND(AH93&gt;=60,V93&gt;=50),"Validate next",IF(AH93&gt;=50,"Partner or monitor","Deprioritize")))</x:f>
        <x:v>Deprioritize</x:v>
      </x:c>
      <x:c r="AL93" s="51" t="str">
        <x:v>Bounded agents can complete standard cases with mandatory review.</x:v>
      </x:c>
      <x:c r="AM93" s="51" t="str">
        <x:v>/Users/jaibhagat/code/prismml/agents-last-exam/tasks/physical_sciences/phonon_dispersion_thermodynamics/task_card.json</x:v>
      </x:c>
    </x:row>
    <x:row r="94">
      <x:c r="A94" s="40" t="n">
        <x:f>COUNTIF($AH$5:$AH$157,"&gt;"&amp;AH94)+COUNTIF($AH$5:AH94,AH94)</x:f>
        <x:v>88</x:v>
      </x:c>
      <x:c r="B94" s="51" t="str">
        <x:v>health_medicine/flusight_offline_hosp_forecast_2024_12_14</x:v>
      </x:c>
      <x:c r="C94" s="51" t="str">
        <x:v>FluSight Offline Hospital Forecast</x:v>
      </x:c>
      <x:c r="D94" s="51" t="str">
        <x:v>health_medicine</x:v>
      </x:c>
      <x:c r="E94" s="51" t="str">
        <x:v>Public Health &amp; Epidemiology</x:v>
      </x:c>
      <x:c r="F94" s="51" t="str">
        <x:v>Scientific modeling and computation</x:v>
      </x:c>
      <x:c r="G94" s="51" t="str">
        <x:v>Clinical data scientist or medical specialist</x:v>
      </x:c>
      <x:c r="H94" s="51" t="str">
        <x:v>Professional and related</x:v>
      </x:c>
      <x:c r="I94" s="52" t="n">
        <x:v>1.3</x:v>
      </x:c>
      <x:c r="J94" s="51" t="str">
        <x:v>Structured data artifact</x:v>
      </x:c>
      <x:c r="K94" s="43" t="n">
        <x:v>44</x:v>
      </x:c>
      <x:c r="L94" s="43" t="n">
        <x:v>80</x:v>
      </x:c>
      <x:c r="M94" s="43" t="n">
        <x:v>144</x:v>
      </x:c>
      <x:c r="N94" s="43" t="n">
        <x:v>6</x:v>
      </x:c>
      <x:c r="O94" s="44" t="n">
        <x:f>INDEX('Assumptions'!$B$24:$B$29,MATCH(H94,'Assumptions'!$A$24:$A$29,0))*I94</x:f>
        <x:v>94.887</x:v>
      </x:c>
      <x:c r="P94" s="41" t="str">
        <x:v>High</x:v>
      </x:c>
      <x:c r="Q94" s="45" t="n">
        <x:f>INDEX('Assumptions'!$B$18:$B$21,MATCH(P94,'Assumptions'!$A$18:$A$21,0))</x:f>
        <x:v>1.6</x:v>
      </x:c>
      <x:c r="R94" s="46" t="n">
        <x:v>0.28</x:v>
      </x:c>
      <x:c r="S94" s="47" t="n">
        <x:f>L94*R94</x:f>
        <x:v>22.400000000000002</x:v>
      </x:c>
      <x:c r="T94" s="48" t="n">
        <x:v>100</x:v>
      </x:c>
      <x:c r="U94" s="41" t="n">
        <x:v>3</x:v>
      </x:c>
      <x:c r="V94" s="41" t="n">
        <x:v>50</x:v>
      </x:c>
      <x:c r="W94" s="49" t="n">
        <x:f>V94/100*'Assumptions'!$B$9</x:f>
        <x:v>0.175</x:v>
      </x:c>
      <x:c r="X94" s="49" t="n">
        <x:f>MIN('Assumptions'!$B$11,V94/100*'Assumptions'!$B$10)</x:f>
        <x:v>0.39</x:v>
      </x:c>
      <x:c r="Y94" s="41" t="n">
        <x:v>76</x:v>
      </x:c>
      <x:c r="Z94" s="41" t="n">
        <x:v>50</x:v>
      </x:c>
      <x:c r="AA94" s="50" t="n">
        <x:f>K94*O94*Q94</x:f>
        <x:v>6680.044800000001</x:v>
      </x:c>
      <x:c r="AB94" s="50" t="n">
        <x:f>L94*O94*Q94</x:f>
        <x:v>12145.536</x:v>
      </x:c>
      <x:c r="AC94" s="50" t="n">
        <x:f>M94*O94*Q94</x:f>
        <x:v>21861.9648</x:v>
      </x:c>
      <x:c r="AD94" s="50" t="n">
        <x:f>AB94*N94</x:f>
        <x:v>72873.216</x:v>
      </x:c>
      <x:c r="AE94" s="50" t="n">
        <x:f>MAX(0,N94*(AB94*W94-S94*O94-T94))</x:f>
        <x:v>0</x:v>
      </x:c>
      <x:c r="AF94" s="50" t="n">
        <x:f>MAX(0,N94*(AB94*X94-S94*O94-T94))</x:f>
        <x:v>15067.741439999998</x:v>
      </x:c>
      <x:c r="AG94" s="47" t="n">
        <x:f>(RANK.EQ(AD94,$AD$5:$AD$157,1)-1)/(COUNT($AD$5:$AD$157)-1)*100</x:f>
        <x:v>44.73684210526316</x:v>
      </x:c>
      <x:c r="AH94" s="47" t="n">
        <x:f>MAX(0,MIN(100,AG94*'Assumptions'!$B$5+V94*'Assumptions'!$B$6+Y94*'Assumptions'!$B$7+Z94*'Assumptions'!$B$8-(Q94-1)*'Assumptions'!$B$12))</x:f>
        <x:v>50.38421052631578</x:v>
      </x:c>
      <x:c r="AI94" s="51" t="str">
        <x:v>Low</x:v>
      </x:c>
      <x:c r="AJ94" s="51" t="str">
        <x:v>Specialists lack agents that can operate domain tools, preserve provenance, and reproduce results.</x:v>
      </x:c>
      <x:c r="AK94" s="53" t="str">
        <x:f>IF(AND(AH94&gt;=75,V94&gt;=65,Z94&gt;=60),"Build now",IF(AND(AH94&gt;=60,V94&gt;=50),"Validate next",IF(AH94&gt;=50,"Partner or monitor","Deprioritize")))</x:f>
        <x:v>Partner or monitor</x:v>
      </x:c>
      <x:c r="AL94" s="51" t="str">
        <x:v>Bounded agents can complete standard cases with mandatory review.</x:v>
      </x:c>
      <x:c r="AM94" s="51" t="str">
        <x:v>/Users/jaibhagat/code/prismml/agents-last-exam/tasks/health_medicine/flusight_offline_hosp_forecast_2024_12_14/task_card.json</x:v>
      </x:c>
    </x:row>
    <x:row r="95">
      <x:c r="A95" s="40" t="n">
        <x:f>COUNTIF($AH$5:$AH$157,"&gt;"&amp;AH95)+COUNTIF($AH$5:AH95,AH95)</x:f>
        <x:v>89</x:v>
      </x:c>
      <x:c r="B95" s="51" t="str">
        <x:v>health_medicine/epidemiology_forecast</x:v>
      </x:c>
      <x:c r="C95" s="51" t="str">
        <x:v>Epidemiology Forecast</x:v>
      </x:c>
      <x:c r="D95" s="51" t="str">
        <x:v>health_medicine</x:v>
      </x:c>
      <x:c r="E95" s="51" t="str">
        <x:v>Public Health &amp; Epidemiology</x:v>
      </x:c>
      <x:c r="F95" s="51" t="str">
        <x:v>Scientific modeling and computation</x:v>
      </x:c>
      <x:c r="G95" s="51" t="str">
        <x:v>Clinical data scientist or medical specialist</x:v>
      </x:c>
      <x:c r="H95" s="51" t="str">
        <x:v>Professional and related</x:v>
      </x:c>
      <x:c r="I95" s="52" t="n">
        <x:v>1.3</x:v>
      </x:c>
      <x:c r="J95" s="51" t="str">
        <x:v>Structured data artifact</x:v>
      </x:c>
      <x:c r="K95" s="43" t="n">
        <x:v>44</x:v>
      </x:c>
      <x:c r="L95" s="43" t="n">
        <x:v>80</x:v>
      </x:c>
      <x:c r="M95" s="43" t="n">
        <x:v>144</x:v>
      </x:c>
      <x:c r="N95" s="43" t="n">
        <x:v>6</x:v>
      </x:c>
      <x:c r="O95" s="44" t="n">
        <x:f>INDEX('Assumptions'!$B$24:$B$29,MATCH(H95,'Assumptions'!$A$24:$A$29,0))*I95</x:f>
        <x:v>94.887</x:v>
      </x:c>
      <x:c r="P95" s="41" t="str">
        <x:v>High</x:v>
      </x:c>
      <x:c r="Q95" s="45" t="n">
        <x:f>INDEX('Assumptions'!$B$18:$B$21,MATCH(P95,'Assumptions'!$A$18:$A$21,0))</x:f>
        <x:v>1.6</x:v>
      </x:c>
      <x:c r="R95" s="46" t="n">
        <x:v>0.28</x:v>
      </x:c>
      <x:c r="S95" s="47" t="n">
        <x:f>L95*R95</x:f>
        <x:v>22.400000000000002</x:v>
      </x:c>
      <x:c r="T95" s="48" t="n">
        <x:v>100</x:v>
      </x:c>
      <x:c r="U95" s="41" t="n">
        <x:v>3</x:v>
      </x:c>
      <x:c r="V95" s="41" t="n">
        <x:v>50</x:v>
      </x:c>
      <x:c r="W95" s="49" t="n">
        <x:f>V95/100*'Assumptions'!$B$9</x:f>
        <x:v>0.175</x:v>
      </x:c>
      <x:c r="X95" s="49" t="n">
        <x:f>MIN('Assumptions'!$B$11,V95/100*'Assumptions'!$B$10)</x:f>
        <x:v>0.39</x:v>
      </x:c>
      <x:c r="Y95" s="41" t="n">
        <x:v>76</x:v>
      </x:c>
      <x:c r="Z95" s="41" t="n">
        <x:v>50</x:v>
      </x:c>
      <x:c r="AA95" s="50" t="n">
        <x:f>K95*O95*Q95</x:f>
        <x:v>6680.044800000001</x:v>
      </x:c>
      <x:c r="AB95" s="50" t="n">
        <x:f>L95*O95*Q95</x:f>
        <x:v>12145.536</x:v>
      </x:c>
      <x:c r="AC95" s="50" t="n">
        <x:f>M95*O95*Q95</x:f>
        <x:v>21861.9648</x:v>
      </x:c>
      <x:c r="AD95" s="50" t="n">
        <x:f>AB95*N95</x:f>
        <x:v>72873.216</x:v>
      </x:c>
      <x:c r="AE95" s="50" t="n">
        <x:f>MAX(0,N95*(AB95*W95-S95*O95-T95))</x:f>
        <x:v>0</x:v>
      </x:c>
      <x:c r="AF95" s="50" t="n">
        <x:f>MAX(0,N95*(AB95*X95-S95*O95-T95))</x:f>
        <x:v>15067.741439999998</x:v>
      </x:c>
      <x:c r="AG95" s="47" t="n">
        <x:f>(RANK.EQ(AD95,$AD$5:$AD$157,1)-1)/(COUNT($AD$5:$AD$157)-1)*100</x:f>
        <x:v>44.73684210526316</x:v>
      </x:c>
      <x:c r="AH95" s="47" t="n">
        <x:f>MAX(0,MIN(100,AG95*'Assumptions'!$B$5+V95*'Assumptions'!$B$6+Y95*'Assumptions'!$B$7+Z95*'Assumptions'!$B$8-(Q95-1)*'Assumptions'!$B$12))</x:f>
        <x:v>50.38421052631578</x:v>
      </x:c>
      <x:c r="AI95" s="51" t="str">
        <x:v>Low</x:v>
      </x:c>
      <x:c r="AJ95" s="51" t="str">
        <x:v>Specialists lack agents that can operate domain tools, preserve provenance, and reproduce results.</x:v>
      </x:c>
      <x:c r="AK95" s="53" t="str">
        <x:f>IF(AND(AH95&gt;=75,V95&gt;=65,Z95&gt;=60),"Build now",IF(AND(AH95&gt;=60,V95&gt;=50),"Validate next",IF(AH95&gt;=50,"Partner or monitor","Deprioritize")))</x:f>
        <x:v>Partner or monitor</x:v>
      </x:c>
      <x:c r="AL95" s="51" t="str">
        <x:v>Bounded agents can complete standard cases with mandatory review.</x:v>
      </x:c>
      <x:c r="AM95" s="51" t="str">
        <x:v>/Users/jaibhagat/code/prismml/agents-last-exam/tasks/health_medicine/epidemiology_forecast/task_card.json</x:v>
      </x:c>
    </x:row>
    <x:row r="96">
      <x:c r="A96" s="40" t="n">
        <x:f>COUNTIF($AH$5:$AH$157,"&gt;"&amp;AH96)+COUNTIF($AH$5:AH96,AH96)</x:f>
        <x:v>91</x:v>
      </x:c>
      <x:c r="B96" s="51" t="str">
        <x:v>life_sciences/tp53_locus_variant_histone_browser_svg</x:v>
      </x:c>
      <x:c r="C96" s="51" t="str">
        <x:v>K562 Genome Browser SVG Export</x:v>
      </x:c>
      <x:c r="D96" s="51" t="str">
        <x:v>life_sciences</x:v>
      </x:c>
      <x:c r="E96" s="51" t="str">
        <x:v>Genomics &amp; Sequence Analysis</x:v>
      </x:c>
      <x:c r="F96" s="51" t="str">
        <x:v>Scientific modeling and computation</x:v>
      </x:c>
      <x:c r="G96" s="51" t="str">
        <x:v>Bioinformatics or life-science researcher</x:v>
      </x:c>
      <x:c r="H96" s="51" t="str">
        <x:v>Professional and related</x:v>
      </x:c>
      <x:c r="I96" s="52" t="n">
        <x:v>1.25</x:v>
      </x:c>
      <x:c r="J96" s="51" t="str">
        <x:v>Structured data artifact</x:v>
      </x:c>
      <x:c r="K96" s="43" t="n">
        <x:v>44</x:v>
      </x:c>
      <x:c r="L96" s="43" t="n">
        <x:v>80</x:v>
      </x:c>
      <x:c r="M96" s="43" t="n">
        <x:v>144</x:v>
      </x:c>
      <x:c r="N96" s="43" t="n">
        <x:v>6</x:v>
      </x:c>
      <x:c r="O96" s="44" t="n">
        <x:f>INDEX('Assumptions'!$B$24:$B$29,MATCH(H96,'Assumptions'!$A$24:$A$29,0))*I96</x:f>
        <x:v>91.2375</x:v>
      </x:c>
      <x:c r="P96" s="41" t="str">
        <x:v>Medium</x:v>
      </x:c>
      <x:c r="Q96" s="45" t="n">
        <x:f>INDEX('Assumptions'!$B$18:$B$21,MATCH(P96,'Assumptions'!$A$18:$A$21,0))</x:f>
        <x:v>1.25</x:v>
      </x:c>
      <x:c r="R96" s="46" t="n">
        <x:v>0.18</x:v>
      </x:c>
      <x:c r="S96" s="47" t="n">
        <x:f>L96*R96</x:f>
        <x:v>14.399999999999999</x:v>
      </x:c>
      <x:c r="T96" s="48" t="n">
        <x:v>100</x:v>
      </x:c>
      <x:c r="U96" s="41" t="n">
        <x:v>3</x:v>
      </x:c>
      <x:c r="V96" s="41" t="n">
        <x:v>50</x:v>
      </x:c>
      <x:c r="W96" s="49" t="n">
        <x:f>V96/100*'Assumptions'!$B$9</x:f>
        <x:v>0.175</x:v>
      </x:c>
      <x:c r="X96" s="49" t="n">
        <x:f>MIN('Assumptions'!$B$11,V96/100*'Assumptions'!$B$10)</x:f>
        <x:v>0.39</x:v>
      </x:c>
      <x:c r="Y96" s="41" t="n">
        <x:v>84</x:v>
      </x:c>
      <x:c r="Z96" s="41" t="n">
        <x:v>53</x:v>
      </x:c>
      <x:c r="AA96" s="50" t="n">
        <x:f>K96*O96*Q96</x:f>
        <x:v>5018.0625</x:v>
      </x:c>
      <x:c r="AB96" s="50" t="n">
        <x:f>L96*O96*Q96</x:f>
        <x:v>9123.75</x:v>
      </x:c>
      <x:c r="AC96" s="50" t="n">
        <x:f>M96*O96*Q96</x:f>
        <x:v>16422.75</x:v>
      </x:c>
      <x:c r="AD96" s="50" t="n">
        <x:f>AB96*N96</x:f>
        <x:v>54742.5</x:v>
      </x:c>
      <x:c r="AE96" s="50" t="n">
        <x:f>MAX(0,N96*(AB96*W96-S96*O96-T96))</x:f>
        <x:v>1097.0175000000004</x:v>
      </x:c>
      <x:c r="AF96" s="50" t="n">
        <x:f>MAX(0,N96*(AB96*X96-S96*O96-T96))</x:f>
        <x:v>12866.655</x:v>
      </x:c>
      <x:c r="AG96" s="47" t="n">
        <x:f>(RANK.EQ(AD96,$AD$5:$AD$157,1)-1)/(COUNT($AD$5:$AD$157)-1)*100</x:f>
        <x:v>20.394736842105264</x:v>
      </x:c>
      <x:c r="AH96" s="47" t="n">
        <x:f>MAX(0,MIN(100,AG96*'Assumptions'!$B$5+V96*'Assumptions'!$B$6+Y96*'Assumptions'!$B$7+Z96*'Assumptions'!$B$8-(Q96-1)*'Assumptions'!$B$12))</x:f>
        <x:v>49.69868421052632</x:v>
      </x:c>
      <x:c r="AI96" s="51" t="str">
        <x:v>Low</x:v>
      </x:c>
      <x:c r="AJ96" s="51" t="str">
        <x:v>Specialists lack agents that can operate domain tools, preserve provenance, and reproduce results.</x:v>
      </x:c>
      <x:c r="AK96" s="53" t="str">
        <x:f>IF(AND(AH96&gt;=75,V96&gt;=65,Z96&gt;=60),"Build now",IF(AND(AH96&gt;=60,V96&gt;=50),"Validate next",IF(AH96&gt;=50,"Partner or monitor","Deprioritize")))</x:f>
        <x:v>Deprioritize</x:v>
      </x:c>
      <x:c r="AL96" s="51" t="str">
        <x:v>Bounded agents can complete standard cases with mandatory review.</x:v>
      </x:c>
      <x:c r="AM96" s="51" t="str">
        <x:v>/Users/jaibhagat/code/prismml/agents-last-exam/tasks/life_sciences/tp53_locus_variant_histone_browser_svg/task_card.json</x:v>
      </x:c>
    </x:row>
    <x:row r="97">
      <x:c r="A97" s="40" t="n">
        <x:f>COUNTIF($AH$5:$AH$157,"&gt;"&amp;AH97)+COUNTIF($AH$5:AH97,AH97)</x:f>
        <x:v>95</x:v>
      </x:c>
      <x:c r="B97" s="51" t="str">
        <x:v>physical_sciences/glm_lake_calibration</x:v>
      </x:c>
      <x:c r="C97" s="51" t="str">
        <x:v>GLM Lake Calibration</x:v>
      </x:c>
      <x:c r="D97" s="51" t="str">
        <x:v>physical_sciences</x:v>
      </x:c>
      <x:c r="E97" s="51" t="str">
        <x:v>Environmental Modeling, Engineering &amp; Water Resources</x:v>
      </x:c>
      <x:c r="F97" s="51" t="str">
        <x:v>Scientific modeling and computation</x:v>
      </x:c>
      <x:c r="G97" s="51" t="str">
        <x:v>Computational scientist</x:v>
      </x:c>
      <x:c r="H97" s="51" t="str">
        <x:v>Professional and related</x:v>
      </x:c>
      <x:c r="I97" s="52" t="n">
        <x:v>1.25</x:v>
      </x:c>
      <x:c r="J97" s="51" t="str">
        <x:v>Structured data artifact</x:v>
      </x:c>
      <x:c r="K97" s="43" t="n">
        <x:v>44</x:v>
      </x:c>
      <x:c r="L97" s="43" t="n">
        <x:v>80</x:v>
      </x:c>
      <x:c r="M97" s="43" t="n">
        <x:v>144</x:v>
      </x:c>
      <x:c r="N97" s="43" t="n">
        <x:v>6</x:v>
      </x:c>
      <x:c r="O97" s="44" t="n">
        <x:f>INDEX('Assumptions'!$B$24:$B$29,MATCH(H97,'Assumptions'!$A$24:$A$29,0))*I97</x:f>
        <x:v>91.2375</x:v>
      </x:c>
      <x:c r="P97" s="41" t="str">
        <x:v>Medium</x:v>
      </x:c>
      <x:c r="Q97" s="45" t="n">
        <x:f>INDEX('Assumptions'!$B$18:$B$21,MATCH(P97,'Assumptions'!$A$18:$A$21,0))</x:f>
        <x:v>1.25</x:v>
      </x:c>
      <x:c r="R97" s="46" t="n">
        <x:v>0.18</x:v>
      </x:c>
      <x:c r="S97" s="47" t="n">
        <x:f>L97*R97</x:f>
        <x:v>14.399999999999999</x:v>
      </x:c>
      <x:c r="T97" s="48" t="n">
        <x:v>100</x:v>
      </x:c>
      <x:c r="U97" s="41" t="n">
        <x:v>3</x:v>
      </x:c>
      <x:c r="V97" s="41" t="n">
        <x:v>50</x:v>
      </x:c>
      <x:c r="W97" s="49" t="n">
        <x:f>V97/100*'Assumptions'!$B$9</x:f>
        <x:v>0.175</x:v>
      </x:c>
      <x:c r="X97" s="49" t="n">
        <x:f>MIN('Assumptions'!$B$11,V97/100*'Assumptions'!$B$10)</x:f>
        <x:v>0.39</x:v>
      </x:c>
      <x:c r="Y97" s="41" t="n">
        <x:v>76</x:v>
      </x:c>
      <x:c r="Z97" s="41" t="n">
        <x:v>58</x:v>
      </x:c>
      <x:c r="AA97" s="50" t="n">
        <x:f>K97*O97*Q97</x:f>
        <x:v>5018.0625</x:v>
      </x:c>
      <x:c r="AB97" s="50" t="n">
        <x:f>L97*O97*Q97</x:f>
        <x:v>9123.75</x:v>
      </x:c>
      <x:c r="AC97" s="50" t="n">
        <x:f>M97*O97*Q97</x:f>
        <x:v>16422.75</x:v>
      </x:c>
      <x:c r="AD97" s="50" t="n">
        <x:f>AB97*N97</x:f>
        <x:v>54742.5</x:v>
      </x:c>
      <x:c r="AE97" s="50" t="n">
        <x:f>MAX(0,N97*(AB97*W97-S97*O97-T97))</x:f>
        <x:v>1097.0175000000004</x:v>
      </x:c>
      <x:c r="AF97" s="50" t="n">
        <x:f>MAX(0,N97*(AB97*X97-S97*O97-T97))</x:f>
        <x:v>12866.655</x:v>
      </x:c>
      <x:c r="AG97" s="47" t="n">
        <x:f>(RANK.EQ(AD97,$AD$5:$AD$157,1)-1)/(COUNT($AD$5:$AD$157)-1)*100</x:f>
        <x:v>20.394736842105264</x:v>
      </x:c>
      <x:c r="AH97" s="47" t="n">
        <x:f>MAX(0,MIN(100,AG97*'Assumptions'!$B$5+V97*'Assumptions'!$B$6+Y97*'Assumptions'!$B$7+Z97*'Assumptions'!$B$8-(Q97-1)*'Assumptions'!$B$12))</x:f>
        <x:v>48.69868421052632</x:v>
      </x:c>
      <x:c r="AI97" s="51" t="str">
        <x:v>Low</x:v>
      </x:c>
      <x:c r="AJ97" s="51" t="str">
        <x:v>Specialists lack agents that can operate domain tools, preserve provenance, and reproduce results.</x:v>
      </x:c>
      <x:c r="AK97" s="53" t="str">
        <x:f>IF(AND(AH97&gt;=75,V97&gt;=65,Z97&gt;=60),"Build now",IF(AND(AH97&gt;=60,V97&gt;=50),"Validate next",IF(AH97&gt;=50,"Partner or monitor","Deprioritize")))</x:f>
        <x:v>Deprioritize</x:v>
      </x:c>
      <x:c r="AL97" s="51" t="str">
        <x:v>Bounded agents can complete standard cases with mandatory review.</x:v>
      </x:c>
      <x:c r="AM97" s="51" t="str">
        <x:v>/Users/jaibhagat/code/prismml/agents-last-exam/tasks/physical_sciences/glm_lake_calibration/task_card.json</x:v>
      </x:c>
    </x:row>
    <x:row r="98">
      <x:c r="A98" s="40" t="n">
        <x:f>COUNTIF($AH$5:$AH$157,"&gt;"&amp;AH98)+COUNTIF($AH$5:AH98,AH98)</x:f>
        <x:v>92</x:v>
      </x:c>
      <x:c r="B98" s="51" t="str">
        <x:v>computing_math/os_log_permission_guard_v1</x:v>
      </x:c>
      <x:c r="C98" s="51" t="str">
        <x:v>OS Log Permission Guard</x:v>
      </x:c>
      <x:c r="D98" s="51" t="str">
        <x:v>computing_math</x:v>
      </x:c>
      <x:c r="E98" s="51" t="str">
        <x:v>Infrastructure Engineering &amp; Cloud Operations</x:v>
      </x:c>
      <x:c r="F98" s="51" t="str">
        <x:v>Software and data engineering</x:v>
      </x:c>
      <x:c r="G98" s="51" t="str">
        <x:v>Software engineer or data scientist</x:v>
      </x:c>
      <x:c r="H98" s="51" t="str">
        <x:v>Professional and related</x:v>
      </x:c>
      <x:c r="I98" s="52" t="n">
        <x:v>1.15</x:v>
      </x:c>
      <x:c r="J98" s="51" t="str">
        <x:v>Structured data artifact</x:v>
      </x:c>
      <x:c r="K98" s="43" t="n">
        <x:v>26</x:v>
      </x:c>
      <x:c r="L98" s="43" t="n">
        <x:v>48</x:v>
      </x:c>
      <x:c r="M98" s="43" t="n">
        <x:v>86</x:v>
      </x:c>
      <x:c r="N98" s="43" t="n">
        <x:v>10</x:v>
      </x:c>
      <x:c r="O98" s="44" t="n">
        <x:f>INDEX('Assumptions'!$B$24:$B$29,MATCH(H98,'Assumptions'!$A$24:$A$29,0))*I98</x:f>
        <x:v>83.93849999999999</x:v>
      </x:c>
      <x:c r="P98" s="41" t="str">
        <x:v>High</x:v>
      </x:c>
      <x:c r="Q98" s="45" t="n">
        <x:f>INDEX('Assumptions'!$B$18:$B$21,MATCH(P98,'Assumptions'!$A$18:$A$21,0))</x:f>
        <x:v>1.6</x:v>
      </x:c>
      <x:c r="R98" s="46" t="n">
        <x:v>0.28</x:v>
      </x:c>
      <x:c r="S98" s="47" t="n">
        <x:f>L98*R98</x:f>
        <x:v>13.440000000000001</x:v>
      </x:c>
      <x:c r="T98" s="48" t="n">
        <x:v>20</x:v>
      </x:c>
      <x:c r="U98" s="41" t="n">
        <x:v>4</x:v>
      </x:c>
      <x:c r="V98" s="41" t="n">
        <x:v>64</x:v>
      </x:c>
      <x:c r="W98" s="49" t="n">
        <x:f>V98/100*'Assumptions'!$B$9</x:f>
        <x:v>0.22399999999999998</x:v>
      </x:c>
      <x:c r="X98" s="49" t="n">
        <x:f>MIN('Assumptions'!$B$11,V98/100*'Assumptions'!$B$10)</x:f>
        <x:v>0.49920000000000003</x:v>
      </x:c>
      <x:c r="Y98" s="41" t="n">
        <x:v>56</x:v>
      </x:c>
      <x:c r="Z98" s="41" t="n">
        <x:v>63</x:v>
      </x:c>
      <x:c r="AA98" s="50" t="n">
        <x:f>K98*O98*Q98</x:f>
        <x:v>3491.8415999999997</x:v>
      </x:c>
      <x:c r="AB98" s="50" t="n">
        <x:f>L98*O98*Q98</x:f>
        <x:v>6446.4768</x:v>
      </x:c>
      <x:c r="AC98" s="50" t="n">
        <x:f>M98*O98*Q98</x:f>
        <x:v>11549.9376</x:v>
      </x:c>
      <x:c r="AD98" s="50" t="n">
        <x:f>AB98*N98</x:f>
        <x:v>64464.768000000004</x:v>
      </x:c>
      <x:c r="AE98" s="50" t="n">
        <x:f>MAX(0,N98*(AB98*W98-S98*O98-T98))</x:f>
        <x:v>2958.7736319999976</x:v>
      </x:c>
      <x:c r="AF98" s="50" t="n">
        <x:f>MAX(0,N98*(AB98*X98-S98*O98-T98))</x:f>
        <x:v>20699.4777856</x:v>
      </x:c>
      <x:c r="AG98" s="47" t="n">
        <x:f>(RANK.EQ(AD98,$AD$5:$AD$157,1)-1)/(COUNT($AD$5:$AD$157)-1)*100</x:f>
        <x:v>34.21052631578947</x:v>
      </x:c>
      <x:c r="AH98" s="47" t="n">
        <x:f>MAX(0,MIN(100,AG98*'Assumptions'!$B$5+V98*'Assumptions'!$B$6+Y98*'Assumptions'!$B$7+Z98*'Assumptions'!$B$8-(Q98-1)*'Assumptions'!$B$12))</x:f>
        <x:v>49.55263157894737</x:v>
      </x:c>
      <x:c r="AI98" s="51" t="str">
        <x:v>Low</x:v>
      </x:c>
      <x:c r="AJ98" s="51" t="str">
        <x:v>The gap is verified repair and migration inside constrained environments, with evidence that changes work.</x:v>
      </x:c>
      <x:c r="AK98" s="53" t="str">
        <x:f>IF(AND(AH98&gt;=75,V98&gt;=65,Z98&gt;=60),"Build now",IF(AND(AH98&gt;=60,V98&gt;=50),"Validate next",IF(AH98&gt;=50,"Partner or monitor","Deprioritize")))</x:f>
        <x:v>Deprioritize</x:v>
      </x:c>
      <x:c r="AL98" s="51" t="str">
        <x:v>Production automation is feasible for standard cases with exception routing.</x:v>
      </x:c>
      <x:c r="AM98" s="51" t="str">
        <x:v>/Users/jaibhagat/code/prismml/agents-last-exam/tasks/computing_math/os_log_permission_guard_v1/task_card.json</x:v>
      </x:c>
    </x:row>
    <x:row r="99">
      <x:c r="A99" s="40" t="n">
        <x:f>COUNTIF($AH$5:$AH$157,"&gt;"&amp;AH99)+COUNTIF($AH$5:AH99,AH99)</x:f>
        <x:v>93</x:v>
      </x:c>
      <x:c r="B99" s="51" t="str">
        <x:v>life_sciences/cell_tracking_instance_1</x:v>
      </x:c>
      <x:c r="C99" s="51" t="str">
        <x:v>Cell Tracking Instance 1</x:v>
      </x:c>
      <x:c r="D99" s="51" t="str">
        <x:v>life_sciences</x:v>
      </x:c>
      <x:c r="E99" s="51" t="str">
        <x:v>Cell &amp; Imaging Biology</x:v>
      </x:c>
      <x:c r="F99" s="51" t="str">
        <x:v>Image, signal, or geospatial analysis</x:v>
      </x:c>
      <x:c r="G99" s="51" t="str">
        <x:v>Bioinformatics or life-science researcher</x:v>
      </x:c>
      <x:c r="H99" s="51" t="str">
        <x:v>Professional and related</x:v>
      </x:c>
      <x:c r="I99" s="52" t="n">
        <x:v>1.25</x:v>
      </x:c>
      <x:c r="J99" s="51" t="str">
        <x:v>Verified analytical output</x:v>
      </x:c>
      <x:c r="K99" s="43" t="n">
        <x:v>26</x:v>
      </x:c>
      <x:c r="L99" s="43" t="n">
        <x:v>48</x:v>
      </x:c>
      <x:c r="M99" s="43" t="n">
        <x:v>86</x:v>
      </x:c>
      <x:c r="N99" s="43" t="n">
        <x:v>24</x:v>
      </x:c>
      <x:c r="O99" s="44" t="n">
        <x:f>INDEX('Assumptions'!$B$24:$B$29,MATCH(H99,'Assumptions'!$A$24:$A$29,0))*I99</x:f>
        <x:v>91.2375</x:v>
      </x:c>
      <x:c r="P99" s="41" t="str">
        <x:v>Medium</x:v>
      </x:c>
      <x:c r="Q99" s="45" t="n">
        <x:f>INDEX('Assumptions'!$B$18:$B$21,MATCH(P99,'Assumptions'!$A$18:$A$21,0))</x:f>
        <x:v>1.25</x:v>
      </x:c>
      <x:c r="R99" s="46" t="n">
        <x:v>0.18</x:v>
      </x:c>
      <x:c r="S99" s="47" t="n">
        <x:f>L99*R99</x:f>
        <x:v>8.64</x:v>
      </x:c>
      <x:c r="T99" s="48" t="n">
        <x:v>35</x:v>
      </x:c>
      <x:c r="U99" s="41" t="n">
        <x:v>3</x:v>
      </x:c>
      <x:c r="V99" s="41" t="n">
        <x:v>18</x:v>
      </x:c>
      <x:c r="W99" s="49" t="n">
        <x:f>V99/100*'Assumptions'!$B$9</x:f>
        <x:v>0.063</x:v>
      </x:c>
      <x:c r="X99" s="49" t="n">
        <x:f>MIN('Assumptions'!$B$11,V99/100*'Assumptions'!$B$10)</x:f>
        <x:v>0.1404</x:v>
      </x:c>
      <x:c r="Y99" s="41" t="n">
        <x:v>74</x:v>
      </x:c>
      <x:c r="Z99" s="41" t="n">
        <x:v>38</x:v>
      </x:c>
      <x:c r="AA99" s="50" t="n">
        <x:f>K99*O99*Q99</x:f>
        <x:v>2965.2187499999995</x:v>
      </x:c>
      <x:c r="AB99" s="50" t="n">
        <x:f>L99*O99*Q99</x:f>
        <x:v>5474.25</x:v>
      </x:c>
      <x:c r="AC99" s="50" t="n">
        <x:f>M99*O99*Q99</x:f>
        <x:v>9808.03125</x:v>
      </x:c>
      <x:c r="AD99" s="50" t="n">
        <x:f>AB99*N99</x:f>
        <x:v>131382</x:v>
      </x:c>
      <x:c r="AE99" s="50" t="n">
        <x:f>MAX(0,N99*(AB99*W99-S99*O99-T99))</x:f>
        <x:v>0</x:v>
      </x:c>
      <x:c r="AF99" s="50" t="n">
        <x:f>MAX(0,N99*(AB99*X99-S99*O99-T99))</x:f>
        <x:v>0</x:v>
      </x:c>
      <x:c r="AG99" s="47" t="n">
        <x:f>(RANK.EQ(AD99,$AD$5:$AD$157,1)-1)/(COUNT($AD$5:$AD$157)-1)*100</x:f>
        <x:v>76.97368421052632</x:v>
      </x:c>
      <x:c r="AH99" s="47" t="n">
        <x:f>MAX(0,MIN(100,AG99*'Assumptions'!$B$5+V99*'Assumptions'!$B$6+Y99*'Assumptions'!$B$7+Z99*'Assumptions'!$B$8-(Q99-1)*'Assumptions'!$B$12))</x:f>
        <x:v>48.74342105263158</x:v>
      </x:c>
      <x:c r="AI99" s="51" t="str">
        <x:v>Low</x:v>
      </x:c>
      <x:c r="AJ99" s="51" t="str">
        <x:v>Niche image and signal workflows remain fragmented across specialist tools and manual QA.</x:v>
      </x:c>
      <x:c r="AK99" s="53" t="str">
        <x:f>IF(AND(AH99&gt;=75,V99&gt;=65,Z99&gt;=60),"Build now",IF(AND(AH99&gt;=60,V99&gt;=50),"Validate next",IF(AH99&gt;=50,"Partner or monitor","Deprioritize")))</x:f>
        <x:v>Deprioritize</x:v>
      </x:c>
      <x:c r="AL99" s="51" t="str">
        <x:v>Bounded agents can complete standard cases with mandatory review.</x:v>
      </x:c>
      <x:c r="AM99" s="51" t="str">
        <x:v>/Users/jaibhagat/code/prismml/agents-last-exam/tasks/life_sciences/cell_tracking_instance_1/task_card.json</x:v>
      </x:c>
    </x:row>
    <x:row r="100">
      <x:c r="A100" s="40" t="n">
        <x:f>COUNTIF($AH$5:$AH$157,"&gt;"&amp;AH100)+COUNTIF($AH$5:AH100,AH100)</x:f>
        <x:v>101</x:v>
      </x:c>
      <x:c r="B100" s="51" t="str">
        <x:v>physical_sciences/exact_diag_heisenberg_j1j2</x:v>
      </x:c>
      <x:c r="C100" s="51" t="str">
        <x:v>Exact Diagonalization of the J1-J2 Heisenberg Model</x:v>
      </x:c>
      <x:c r="D100" s="51" t="str">
        <x:v>physical_sciences</x:v>
      </x:c>
      <x:c r="E100" s="51" t="str">
        <x:v>Physics</x:v>
      </x:c>
      <x:c r="F100" s="51" t="str">
        <x:v>Scientific modeling and computation</x:v>
      </x:c>
      <x:c r="G100" s="51" t="str">
        <x:v>Computational scientist</x:v>
      </x:c>
      <x:c r="H100" s="51" t="str">
        <x:v>Professional and related</x:v>
      </x:c>
      <x:c r="I100" s="52" t="n">
        <x:v>1.25</x:v>
      </x:c>
      <x:c r="J100" s="51" t="str">
        <x:v>Structured data artifact</x:v>
      </x:c>
      <x:c r="K100" s="43" t="n">
        <x:v>44</x:v>
      </x:c>
      <x:c r="L100" s="43" t="n">
        <x:v>80</x:v>
      </x:c>
      <x:c r="M100" s="43" t="n">
        <x:v>144</x:v>
      </x:c>
      <x:c r="N100" s="43" t="n">
        <x:v>6</x:v>
      </x:c>
      <x:c r="O100" s="44" t="n">
        <x:f>INDEX('Assumptions'!$B$24:$B$29,MATCH(H100,'Assumptions'!$A$24:$A$29,0))*I100</x:f>
        <x:v>91.2375</x:v>
      </x:c>
      <x:c r="P100" s="41" t="str">
        <x:v>Medium</x:v>
      </x:c>
      <x:c r="Q100" s="45" t="n">
        <x:f>INDEX('Assumptions'!$B$18:$B$21,MATCH(P100,'Assumptions'!$A$18:$A$21,0))</x:f>
        <x:v>1.25</x:v>
      </x:c>
      <x:c r="R100" s="46" t="n">
        <x:v>0.18</x:v>
      </x:c>
      <x:c r="S100" s="47" t="n">
        <x:f>L100*R100</x:f>
        <x:v>14.399999999999999</x:v>
      </x:c>
      <x:c r="T100" s="48" t="n">
        <x:v>100</x:v>
      </x:c>
      <x:c r="U100" s="41" t="n">
        <x:v>3</x:v>
      </x:c>
      <x:c r="V100" s="41" t="n">
        <x:v>50</x:v>
      </x:c>
      <x:c r="W100" s="49" t="n">
        <x:f>V100/100*'Assumptions'!$B$9</x:f>
        <x:v>0.175</x:v>
      </x:c>
      <x:c r="X100" s="49" t="n">
        <x:f>MIN('Assumptions'!$B$11,V100/100*'Assumptions'!$B$10)</x:f>
        <x:v>0.39</x:v>
      </x:c>
      <x:c r="Y100" s="41" t="n">
        <x:v>76</x:v>
      </x:c>
      <x:c r="Z100" s="41" t="n">
        <x:v>53</x:v>
      </x:c>
      <x:c r="AA100" s="50" t="n">
        <x:f>K100*O100*Q100</x:f>
        <x:v>5018.0625</x:v>
      </x:c>
      <x:c r="AB100" s="50" t="n">
        <x:f>L100*O100*Q100</x:f>
        <x:v>9123.75</x:v>
      </x:c>
      <x:c r="AC100" s="50" t="n">
        <x:f>M100*O100*Q100</x:f>
        <x:v>16422.75</x:v>
      </x:c>
      <x:c r="AD100" s="50" t="n">
        <x:f>AB100*N100</x:f>
        <x:v>54742.5</x:v>
      </x:c>
      <x:c r="AE100" s="50" t="n">
        <x:f>MAX(0,N100*(AB100*W100-S100*O100-T100))</x:f>
        <x:v>1097.0175000000004</x:v>
      </x:c>
      <x:c r="AF100" s="50" t="n">
        <x:f>MAX(0,N100*(AB100*X100-S100*O100-T100))</x:f>
        <x:v>12866.655</x:v>
      </x:c>
      <x:c r="AG100" s="47" t="n">
        <x:f>(RANK.EQ(AD100,$AD$5:$AD$157,1)-1)/(COUNT($AD$5:$AD$157)-1)*100</x:f>
        <x:v>20.394736842105264</x:v>
      </x:c>
      <x:c r="AH100" s="47" t="n">
        <x:f>MAX(0,MIN(100,AG100*'Assumptions'!$B$5+V100*'Assumptions'!$B$6+Y100*'Assumptions'!$B$7+Z100*'Assumptions'!$B$8-(Q100-1)*'Assumptions'!$B$12))</x:f>
        <x:v>47.69868421052632</x:v>
      </x:c>
      <x:c r="AI100" s="51" t="str">
        <x:v>Low</x:v>
      </x:c>
      <x:c r="AJ100" s="51" t="str">
        <x:v>Specialists lack agents that can operate domain tools, preserve provenance, and reproduce results.</x:v>
      </x:c>
      <x:c r="AK100" s="53" t="str">
        <x:f>IF(AND(AH100&gt;=75,V100&gt;=65,Z100&gt;=60),"Build now",IF(AND(AH100&gt;=60,V100&gt;=50),"Validate next",IF(AH100&gt;=50,"Partner or monitor","Deprioritize")))</x:f>
        <x:v>Deprioritize</x:v>
      </x:c>
      <x:c r="AL100" s="51" t="str">
        <x:v>Bounded agents can complete standard cases with mandatory review.</x:v>
      </x:c>
      <x:c r="AM100" s="51" t="str">
        <x:v>/Users/jaibhagat/code/prismml/agents-last-exam/tasks/physical_sciences/exact_diag_heisenberg_j1j2/task_card.json</x:v>
      </x:c>
    </x:row>
    <x:row r="101">
      <x:c r="A101" s="40" t="n">
        <x:f>COUNTIF($AH$5:$AH$157,"&gt;"&amp;AH101)+COUNTIF($AH$5:AH101,AH101)</x:f>
        <x:v>96</x:v>
      </x:c>
      <x:c r="B101" s="51" t="str">
        <x:v>education_info/yi_manuscript_translation_1</x:v>
      </x:c>
      <x:c r="C101" s="51" t="str">
        <x:v>Yi Manuscript Translation 1</x:v>
      </x:c>
      <x:c r="D101" s="51" t="str">
        <x:v>education_info</x:v>
      </x:c>
      <x:c r="E101" s="51" t="str">
        <x:v>Translation &amp; Localization</x:v>
      </x:c>
      <x:c r="F101" s="51" t="str">
        <x:v>Image, signal, or geospatial analysis</x:v>
      </x:c>
      <x:c r="G101" s="51" t="str">
        <x:v>Education or information specialist</x:v>
      </x:c>
      <x:c r="H101" s="51" t="str">
        <x:v>Professional and related</x:v>
      </x:c>
      <x:c r="I101" s="52" t="n">
        <x:v>1</x:v>
      </x:c>
      <x:c r="J101" s="51" t="str">
        <x:v>Structured data artifact</x:v>
      </x:c>
      <x:c r="K101" s="43" t="n">
        <x:v>17</x:v>
      </x:c>
      <x:c r="L101" s="43" t="n">
        <x:v>30</x:v>
      </x:c>
      <x:c r="M101" s="43" t="n">
        <x:v>54</x:v>
      </x:c>
      <x:c r="N101" s="43" t="n">
        <x:v>24</x:v>
      </x:c>
      <x:c r="O101" s="44" t="n">
        <x:f>INDEX('Assumptions'!$B$24:$B$29,MATCH(H101,'Assumptions'!$A$24:$A$29,0))*I101</x:f>
        <x:v>72.99</x:v>
      </x:c>
      <x:c r="P101" s="41" t="str">
        <x:v>Low</x:v>
      </x:c>
      <x:c r="Q101" s="45" t="n">
        <x:f>INDEX('Assumptions'!$B$18:$B$21,MATCH(P101,'Assumptions'!$A$18:$A$21,0))</x:f>
        <x:v>1</x:v>
      </x:c>
      <x:c r="R101" s="46" t="n">
        <x:v>0.1</x:v>
      </x:c>
      <x:c r="S101" s="47" t="n">
        <x:f>L101*R101</x:f>
        <x:v>3</x:v>
      </x:c>
      <x:c r="T101" s="48" t="n">
        <x:v>35</x:v>
      </x:c>
      <x:c r="U101" s="41" t="n">
        <x:v>4</x:v>
      </x:c>
      <x:c r="V101" s="41" t="n">
        <x:v>48</x:v>
      </x:c>
      <x:c r="W101" s="49" t="n">
        <x:f>V101/100*'Assumptions'!$B$9</x:f>
        <x:v>0.16799999999999998</x:v>
      </x:c>
      <x:c r="X101" s="49" t="n">
        <x:f>MIN('Assumptions'!$B$11,V101/100*'Assumptions'!$B$10)</x:f>
        <x:v>0.3744</x:v>
      </x:c>
      <x:c r="Y101" s="41" t="n">
        <x:v>72</x:v>
      </x:c>
      <x:c r="Z101" s="41" t="n">
        <x:v>57</x:v>
      </x:c>
      <x:c r="AA101" s="50" t="n">
        <x:f>K101*O101*Q101</x:f>
        <x:v>1240.83</x:v>
      </x:c>
      <x:c r="AB101" s="50" t="n">
        <x:f>L101*O101*Q101</x:f>
        <x:v>2189.7</x:v>
      </x:c>
      <x:c r="AC101" s="50" t="n">
        <x:f>M101*O101*Q101</x:f>
        <x:v>3941.4599999999996</x:v>
      </x:c>
      <x:c r="AD101" s="50" t="n">
        <x:f>AB101*N101</x:f>
        <x:v>52552.799999999996</x:v>
      </x:c>
      <x:c r="AE101" s="50" t="n">
        <x:f>MAX(0,N101*(AB101*W101-S101*O101-T101))</x:f>
        <x:v>2733.590399999999</x:v>
      </x:c>
      <x:c r="AF101" s="50" t="n">
        <x:f>MAX(0,N101*(AB101*X101-S101*O101-T101))</x:f>
        <x:v>13580.488319999999</x:v>
      </x:c>
      <x:c r="AG101" s="47" t="n">
        <x:f>(RANK.EQ(AD101,$AD$5:$AD$157,1)-1)/(COUNT($AD$5:$AD$157)-1)*100</x:f>
        <x:v>19.078947368421055</x:v>
      </x:c>
      <x:c r="AH101" s="47" t="n">
        <x:f>MAX(0,MIN(100,AG101*'Assumptions'!$B$5+V101*'Assumptions'!$B$6+Y101*'Assumptions'!$B$7+Z101*'Assumptions'!$B$8-(Q101-1)*'Assumptions'!$B$12))</x:f>
        <x:v>48.569736842105264</x:v>
      </x:c>
      <x:c r="AI101" s="51" t="str">
        <x:v>Low</x:v>
      </x:c>
      <x:c r="AJ101" s="51" t="str">
        <x:v>Niche image and signal workflows remain fragmented across specialist tools and manual QA.</x:v>
      </x:c>
      <x:c r="AK101" s="53" t="str">
        <x:f>IF(AND(AH101&gt;=75,V101&gt;=65,Z101&gt;=60),"Build now",IF(AND(AH101&gt;=60,V101&gt;=50),"Validate next",IF(AH101&gt;=50,"Partner or monitor","Deprioritize")))</x:f>
        <x:v>Deprioritize</x:v>
      </x:c>
      <x:c r="AL101" s="51" t="str">
        <x:v>Production automation is feasible for standard cases with exception routing.</x:v>
      </x:c>
      <x:c r="AM101" s="51" t="str">
        <x:v>/Users/jaibhagat/code/prismml/agents-last-exam/tasks/education_info/yi_manuscript_translation_1/task_card.json</x:v>
      </x:c>
    </x:row>
    <x:row r="102">
      <x:c r="A102" s="40" t="n">
        <x:f>COUNTIF($AH$5:$AH$157,"&gt;"&amp;AH102)+COUNTIF($AH$5:AH102,AH102)</x:f>
        <x:v>97</x:v>
      </x:c>
      <x:c r="B102" s="51" t="str">
        <x:v>engineering/humanoid_wbc_policy_evaluation</x:v>
      </x:c>
      <x:c r="C102" s="51" t="str">
        <x:v>humanoid wbc policy evaluation</x:v>
      </x:c>
      <x:c r="D102" s="51" t="str">
        <x:v>engineering</x:v>
      </x:c>
      <x:c r="E102" s="51" t="str">
        <x:v>Robotics &amp; Autonomous Systems</x:v>
      </x:c>
      <x:c r="F102" s="51" t="str">
        <x:v>Image, signal, or geospatial analysis</x:v>
      </x:c>
      <x:c r="G102" s="51" t="str">
        <x:v>Specialist engineer</x:v>
      </x:c>
      <x:c r="H102" s="51" t="str">
        <x:v>Professional and related</x:v>
      </x:c>
      <x:c r="I102" s="52" t="n">
        <x:v>1.2</x:v>
      </x:c>
      <x:c r="J102" s="51" t="str">
        <x:v>Structured data artifact</x:v>
      </x:c>
      <x:c r="K102" s="43" t="n">
        <x:v>22</x:v>
      </x:c>
      <x:c r="L102" s="43" t="n">
        <x:v>40</x:v>
      </x:c>
      <x:c r="M102" s="43" t="n">
        <x:v>72</x:v>
      </x:c>
      <x:c r="N102" s="43" t="n">
        <x:v>24</x:v>
      </x:c>
      <x:c r="O102" s="44" t="n">
        <x:f>INDEX('Assumptions'!$B$24:$B$29,MATCH(H102,'Assumptions'!$A$24:$A$29,0))*I102</x:f>
        <x:v>87.588</x:v>
      </x:c>
      <x:c r="P102" s="41" t="str">
        <x:v>Critical</x:v>
      </x:c>
      <x:c r="Q102" s="45" t="n">
        <x:f>INDEX('Assumptions'!$B$18:$B$21,MATCH(P102,'Assumptions'!$A$18:$A$21,0))</x:f>
        <x:v>2.2</x:v>
      </x:c>
      <x:c r="R102" s="46" t="n">
        <x:v>0.4</x:v>
      </x:c>
      <x:c r="S102" s="47" t="n">
        <x:f>L102*R102</x:f>
        <x:v>16</x:v>
      </x:c>
      <x:c r="T102" s="48" t="n">
        <x:v>35</x:v>
      </x:c>
      <x:c r="U102" s="41" t="n">
        <x:v>3</x:v>
      </x:c>
      <x:c r="V102" s="41" t="n">
        <x:v>34</x:v>
      </x:c>
      <x:c r="W102" s="49" t="n">
        <x:f>V102/100*'Assumptions'!$B$9</x:f>
        <x:v>0.119</x:v>
      </x:c>
      <x:c r="X102" s="49" t="n">
        <x:f>MIN('Assumptions'!$B$11,V102/100*'Assumptions'!$B$10)</x:f>
        <x:v>0.26520000000000005</x:v>
      </x:c>
      <x:c r="Y102" s="41" t="n">
        <x:v>72</x:v>
      </x:c>
      <x:c r="Z102" s="41" t="n">
        <x:v>42</x:v>
      </x:c>
      <x:c r="AA102" s="50" t="n">
        <x:f>K102*O102*Q102</x:f>
        <x:v>4239.2592</x:v>
      </x:c>
      <x:c r="AB102" s="50" t="n">
        <x:f>L102*O102*Q102</x:f>
        <x:v>7707.744</x:v>
      </x:c>
      <x:c r="AC102" s="50" t="n">
        <x:f>M102*O102*Q102</x:f>
        <x:v>13873.939199999999</x:v>
      </x:c>
      <x:c r="AD102" s="50" t="n">
        <x:f>AB102*N102</x:f>
        <x:v>184985.856</x:v>
      </x:c>
      <x:c r="AE102" s="50" t="n">
        <x:f>MAX(0,N102*(AB102*W102-S102*O102-T102))</x:f>
        <x:v>0</x:v>
      </x:c>
      <x:c r="AF102" s="50" t="n">
        <x:f>MAX(0,N102*(AB102*X102-S102*O102-T102))</x:f>
        <x:v>14584.45701120001</x:v>
      </x:c>
      <x:c r="AG102" s="47" t="n">
        <x:f>(RANK.EQ(AD102,$AD$5:$AD$157,1)-1)/(COUNT($AD$5:$AD$157)-1)*100</x:f>
        <x:v>86.18421052631578</x:v>
      </x:c>
      <x:c r="AH102" s="47" t="n">
        <x:f>MAX(0,MIN(100,AG102*'Assumptions'!$B$5+V102*'Assumptions'!$B$6+Y102*'Assumptions'!$B$7+Z102*'Assumptions'!$B$8-(Q102-1)*'Assumptions'!$B$12))</x:f>
        <x:v>48.546052631578945</x:v>
      </x:c>
      <x:c r="AI102" s="51" t="str">
        <x:v>Low</x:v>
      </x:c>
      <x:c r="AJ102" s="51" t="str">
        <x:v>Niche image and signal workflows remain fragmented across specialist tools and manual QA.</x:v>
      </x:c>
      <x:c r="AK102" s="53" t="str">
        <x:f>IF(AND(AH102&gt;=75,V102&gt;=65,Z102&gt;=60),"Build now",IF(AND(AH102&gt;=60,V102&gt;=50),"Validate next",IF(AH102&gt;=50,"Partner or monitor","Deprioritize")))</x:f>
        <x:v>Deprioritize</x:v>
      </x:c>
      <x:c r="AL102" s="51" t="str">
        <x:v>Bounded agents can complete standard cases with mandatory review. Accountable professional signoff remains necessary.</x:v>
      </x:c>
      <x:c r="AM102" s="51" t="str">
        <x:v>/Users/jaibhagat/code/prismml/agents-last-exam/tasks/engineering/humanoid_wbc_policy_evaluation/task_card.json</x:v>
      </x:c>
    </x:row>
    <x:row r="103">
      <x:c r="A103" s="40" t="n">
        <x:f>COUNTIF($AH$5:$AH$157,"&gt;"&amp;AH103)+COUNTIF($AH$5:AH103,AH103)</x:f>
        <x:v>98</x:v>
      </x:c>
      <x:c r="B103" s="51" t="str">
        <x:v>business_finance/basel_operational_risk_bia_cn</x:v>
      </x:c>
      <x:c r="C103" s="51" t="str">
        <x:v>Basel Operational Risk BIA Classification</x:v>
      </x:c>
      <x:c r="D103" s="51" t="str">
        <x:v>business_finance</x:v>
      </x:c>
      <x:c r="E103" s="51" t="str">
        <x:v>Actuarial &amp; Risk Modeling</x:v>
      </x:c>
      <x:c r="F103" s="51" t="str">
        <x:v>GUI and specialist application workflow</x:v>
      </x:c>
      <x:c r="G103" s="51" t="str">
        <x:v>Compliance, tax, or financial reporting specialist</x:v>
      </x:c>
      <x:c r="H103" s="51" t="str">
        <x:v>Management, business, and financial</x:v>
      </x:c>
      <x:c r="I103" s="52" t="n">
        <x:v>1.15</x:v>
      </x:c>
      <x:c r="J103" s="51" t="str">
        <x:v>Structured data artifact</x:v>
      </x:c>
      <x:c r="K103" s="43" t="n">
        <x:v>40</x:v>
      </x:c>
      <x:c r="L103" s="43" t="n">
        <x:v>72</x:v>
      </x:c>
      <x:c r="M103" s="43" t="n">
        <x:v>130</x:v>
      </x:c>
      <x:c r="N103" s="43" t="n">
        <x:v>52</x:v>
      </x:c>
      <x:c r="O103" s="44" t="n">
        <x:f>INDEX('Assumptions'!$B$24:$B$29,MATCH(H103,'Assumptions'!$A$24:$A$29,0))*I103</x:f>
        <x:v>100.84349999999999</x:v>
      </x:c>
      <x:c r="P103" s="41" t="str">
        <x:v>High</x:v>
      </x:c>
      <x:c r="Q103" s="45" t="n">
        <x:f>INDEX('Assumptions'!$B$18:$B$21,MATCH(P103,'Assumptions'!$A$18:$A$21,0))</x:f>
        <x:v>1.6</x:v>
      </x:c>
      <x:c r="R103" s="46" t="n">
        <x:v>0.28</x:v>
      </x:c>
      <x:c r="S103" s="47" t="n">
        <x:f>L103*R103</x:f>
        <x:v>20.160000000000004</x:v>
      </x:c>
      <x:c r="T103" s="48" t="n">
        <x:v>50</x:v>
      </x:c>
      <x:c r="U103" s="41" t="n">
        <x:v>3</x:v>
      </x:c>
      <x:c r="V103" s="41" t="n">
        <x:v>24</x:v>
      </x:c>
      <x:c r="W103" s="49" t="n">
        <x:f>V103/100*'Assumptions'!$B$9</x:f>
        <x:v>0.08399999999999999</x:v>
      </x:c>
      <x:c r="X103" s="49" t="n">
        <x:f>MIN('Assumptions'!$B$11,V103/100*'Assumptions'!$B$10)</x:f>
        <x:v>0.1872</x:v>
      </x:c>
      <x:c r="Y103" s="41" t="n">
        <x:v>64</x:v>
      </x:c>
      <x:c r="Z103" s="41" t="n">
        <x:v>29</x:v>
      </x:c>
      <x:c r="AA103" s="50" t="n">
        <x:f>K103*O103*Q103</x:f>
        <x:v>6453.984</x:v>
      </x:c>
      <x:c r="AB103" s="50" t="n">
        <x:f>L103*O103*Q103</x:f>
        <x:v>11617.171199999999</x:v>
      </x:c>
      <x:c r="AC103" s="50" t="n">
        <x:f>M103*O103*Q103</x:f>
        <x:v>20975.448</x:v>
      </x:c>
      <x:c r="AD103" s="50" t="n">
        <x:f>AB103*N103</x:f>
        <x:v>604092.9023999999</x:v>
      </x:c>
      <x:c r="AE103" s="50" t="n">
        <x:f>MAX(0,N103*(AB103*W103-S103*O103-T103))</x:f>
        <x:v>0</x:v>
      </x:c>
      <x:c r="AF103" s="50" t="n">
        <x:f>MAX(0,N103*(AB103*X103-S103*O103-T103))</x:f>
        <x:v>4769.933409279976</x:v>
      </x:c>
      <x:c r="AG103" s="47" t="n">
        <x:f>(RANK.EQ(AD103,$AD$5:$AD$157,1)-1)/(COUNT($AD$5:$AD$157)-1)*100</x:f>
        <x:v>97.36842105263158</x:v>
      </x:c>
      <x:c r="AH103" s="47" t="n">
        <x:f>MAX(0,MIN(100,AG103*'Assumptions'!$B$5+V103*'Assumptions'!$B$6+Y103*'Assumptions'!$B$7+Z103*'Assumptions'!$B$8-(Q103-1)*'Assumptions'!$B$12))</x:f>
        <x:v>48.54210526315789</x:v>
      </x:c>
      <x:c r="AI103" s="51" t="str">
        <x:v>Low</x:v>
      </x:c>
      <x:c r="AJ103" s="51" t="str">
        <x:v>Professional desktop applications remain difficult for agents because state, files, and visual QA must stay synchronized.</x:v>
      </x:c>
      <x:c r="AK103" s="53" t="str">
        <x:f>IF(AND(AH103&gt;=75,V103&gt;=65,Z103&gt;=60),"Build now",IF(AND(AH103&gt;=60,V103&gt;=50),"Validate next",IF(AH103&gt;=50,"Partner or monitor","Deprioritize")))</x:f>
        <x:v>Deprioritize</x:v>
      </x:c>
      <x:c r="AL103" s="51" t="str">
        <x:v>Bounded agents can complete standard cases with mandatory review. Application control and visual QA are major blockers.</x:v>
      </x:c>
      <x:c r="AM103" s="51" t="str">
        <x:v>/Users/jaibhagat/code/prismml/agents-last-exam/tasks/business_finance/basel_operational_risk_bia_cn/task_card.json</x:v>
      </x:c>
    </x:row>
    <x:row r="104">
      <x:c r="A104" s="40" t="n">
        <x:f>COUNTIF($AH$5:$AH$157,"&gt;"&amp;AH104)+COUNTIF($AH$5:AH104,AH104)</x:f>
        <x:v>99</x:v>
      </x:c>
      <x:c r="B104" s="51" t="str">
        <x:v>computing_math/mp_checkpoint_consolidation_v2</x:v>
      </x:c>
      <x:c r="C104" s="51" t="str">
        <x:v>Checkpoint Consolidation V2</x:v>
      </x:c>
      <x:c r="D104" s="51" t="str">
        <x:v>computing_math</x:v>
      </x:c>
      <x:c r="E104" s="51" t="str">
        <x:v>AI Engineering, Safety &amp; CS Research</x:v>
      </x:c>
      <x:c r="F104" s="51" t="str">
        <x:v>Software and data engineering</x:v>
      </x:c>
      <x:c r="G104" s="51" t="str">
        <x:v>Software engineer or data scientist</x:v>
      </x:c>
      <x:c r="H104" s="51" t="str">
        <x:v>Professional and related</x:v>
      </x:c>
      <x:c r="I104" s="52" t="n">
        <x:v>1.15</x:v>
      </x:c>
      <x:c r="J104" s="51" t="str">
        <x:v>Structured data artifact</x:v>
      </x:c>
      <x:c r="K104" s="43" t="n">
        <x:v>20</x:v>
      </x:c>
      <x:c r="L104" s="43" t="n">
        <x:v>36</x:v>
      </x:c>
      <x:c r="M104" s="43" t="n">
        <x:v>65</x:v>
      </x:c>
      <x:c r="N104" s="43" t="n">
        <x:v>10</x:v>
      </x:c>
      <x:c r="O104" s="44" t="n">
        <x:f>INDEX('Assumptions'!$B$24:$B$29,MATCH(H104,'Assumptions'!$A$24:$A$29,0))*I104</x:f>
        <x:v>83.93849999999999</x:v>
      </x:c>
      <x:c r="P104" s="41" t="str">
        <x:v>Low</x:v>
      </x:c>
      <x:c r="Q104" s="45" t="n">
        <x:f>INDEX('Assumptions'!$B$18:$B$21,MATCH(P104,'Assumptions'!$A$18:$A$21,0))</x:f>
        <x:v>1</x:v>
      </x:c>
      <x:c r="R104" s="46" t="n">
        <x:v>0.1</x:v>
      </x:c>
      <x:c r="S104" s="47" t="n">
        <x:f>L104*R104</x:f>
        <x:v>3.6</x:v>
      </x:c>
      <x:c r="T104" s="48" t="n">
        <x:v>20</x:v>
      </x:c>
      <x:c r="U104" s="41" t="n">
        <x:v>4</x:v>
      </x:c>
      <x:c r="V104" s="41" t="n">
        <x:v>64</x:v>
      </x:c>
      <x:c r="W104" s="49" t="n">
        <x:f>V104/100*'Assumptions'!$B$9</x:f>
        <x:v>0.22399999999999998</x:v>
      </x:c>
      <x:c r="X104" s="49" t="n">
        <x:f>MIN('Assumptions'!$B$11,V104/100*'Assumptions'!$B$10)</x:f>
        <x:v>0.49920000000000003</x:v>
      </x:c>
      <x:c r="Y104" s="41" t="n">
        <x:v>56</x:v>
      </x:c>
      <x:c r="Z104" s="41" t="n">
        <x:v>76</x:v>
      </x:c>
      <x:c r="AA104" s="50" t="n">
        <x:f>K104*O104*Q104</x:f>
        <x:v>1678.7699999999998</x:v>
      </x:c>
      <x:c r="AB104" s="50" t="n">
        <x:f>L104*O104*Q104</x:f>
        <x:v>3021.7859999999996</x:v>
      </x:c>
      <x:c r="AC104" s="50" t="n">
        <x:f>M104*O104*Q104</x:f>
        <x:v>5456.0025</x:v>
      </x:c>
      <x:c r="AD104" s="50" t="n">
        <x:f>AB104*N104</x:f>
        <x:v>30217.859999999997</x:v>
      </x:c>
      <x:c r="AE104" s="50" t="n">
        <x:f>MAX(0,N104*(AB104*W104-S104*O104-T104))</x:f>
        <x:v>3547.0146399999985</x:v>
      </x:c>
      <x:c r="AF104" s="50" t="n">
        <x:f>MAX(0,N104*(AB104*X104-S104*O104-T104))</x:f>
        <x:v>11862.969711999998</x:v>
      </x:c>
      <x:c r="AG104" s="47" t="n">
        <x:f>(RANK.EQ(AD104,$AD$5:$AD$157,1)-1)/(COUNT($AD$5:$AD$157)-1)*100</x:f>
        <x:v>0</x:v>
      </x:c>
      <x:c r="AH104" s="47" t="n">
        <x:f>MAX(0,MIN(100,AG104*'Assumptions'!$B$5+V104*'Assumptions'!$B$6+Y104*'Assumptions'!$B$7+Z104*'Assumptions'!$B$8-(Q104-1)*'Assumptions'!$B$12))</x:f>
        <x:v>48.400000000000006</x:v>
      </x:c>
      <x:c r="AI104" s="51" t="str">
        <x:v>Low</x:v>
      </x:c>
      <x:c r="AJ104" s="51" t="str">
        <x:v>The gap is verified repair and migration inside constrained environments, with evidence that changes work.</x:v>
      </x:c>
      <x:c r="AK104" s="53" t="str">
        <x:f>IF(AND(AH104&gt;=75,V104&gt;=65,Z104&gt;=60),"Build now",IF(AND(AH104&gt;=60,V104&gt;=50),"Validate next",IF(AH104&gt;=50,"Partner or monitor","Deprioritize")))</x:f>
        <x:v>Deprioritize</x:v>
      </x:c>
      <x:c r="AL104" s="51" t="str">
        <x:v>Production automation is feasible for standard cases with exception routing.</x:v>
      </x:c>
      <x:c r="AM104" s="51" t="str">
        <x:v>/Users/jaibhagat/code/prismml/agents-last-exam/tasks/computing_math/mp_checkpoint_consolidation_v2/task_card.json</x:v>
      </x:c>
    </x:row>
    <x:row r="105">
      <x:c r="A105" s="40" t="n">
        <x:f>COUNTIF($AH$5:$AH$157,"&gt;"&amp;AH105)+COUNTIF($AH$5:AH105,AH105)</x:f>
        <x:v>102</x:v>
      </x:c>
      <x:c r="B105" s="51" t="str">
        <x:v>physical_sciences/adapt_vqe_molecular_energy</x:v>
      </x:c>
      <x:c r="C105" s="51" t="str">
        <x:v>ADAPT-VQE Molecular Ground-State Energy</x:v>
      </x:c>
      <x:c r="D105" s="51" t="str">
        <x:v>physical_sciences</x:v>
      </x:c>
      <x:c r="E105" s="51" t="str">
        <x:v>Quantum Computing</x:v>
      </x:c>
      <x:c r="F105" s="51" t="str">
        <x:v>Scientific modeling and computation</x:v>
      </x:c>
      <x:c r="G105" s="51" t="str">
        <x:v>Computational scientist</x:v>
      </x:c>
      <x:c r="H105" s="51" t="str">
        <x:v>Professional and related</x:v>
      </x:c>
      <x:c r="I105" s="52" t="n">
        <x:v>1.25</x:v>
      </x:c>
      <x:c r="J105" s="51" t="str">
        <x:v>Structured data artifact</x:v>
      </x:c>
      <x:c r="K105" s="43" t="n">
        <x:v>44</x:v>
      </x:c>
      <x:c r="L105" s="43" t="n">
        <x:v>80</x:v>
      </x:c>
      <x:c r="M105" s="43" t="n">
        <x:v>144</x:v>
      </x:c>
      <x:c r="N105" s="43" t="n">
        <x:v>6</x:v>
      </x:c>
      <x:c r="O105" s="44" t="n">
        <x:f>INDEX('Assumptions'!$B$24:$B$29,MATCH(H105,'Assumptions'!$A$24:$A$29,0))*I105</x:f>
        <x:v>91.2375</x:v>
      </x:c>
      <x:c r="P105" s="41" t="str">
        <x:v>Medium</x:v>
      </x:c>
      <x:c r="Q105" s="45" t="n">
        <x:f>INDEX('Assumptions'!$B$18:$B$21,MATCH(P105,'Assumptions'!$A$18:$A$21,0))</x:f>
        <x:v>1.25</x:v>
      </x:c>
      <x:c r="R105" s="46" t="n">
        <x:v>0.18</x:v>
      </x:c>
      <x:c r="S105" s="47" t="n">
        <x:f>L105*R105</x:f>
        <x:v>14.399999999999999</x:v>
      </x:c>
      <x:c r="T105" s="48" t="n">
        <x:v>100</x:v>
      </x:c>
      <x:c r="U105" s="41" t="n">
        <x:v>3</x:v>
      </x:c>
      <x:c r="V105" s="41" t="n">
        <x:v>50</x:v>
      </x:c>
      <x:c r="W105" s="49" t="n">
        <x:f>V105/100*'Assumptions'!$B$9</x:f>
        <x:v>0.175</x:v>
      </x:c>
      <x:c r="X105" s="49" t="n">
        <x:f>MIN('Assumptions'!$B$11,V105/100*'Assumptions'!$B$10)</x:f>
        <x:v>0.39</x:v>
      </x:c>
      <x:c r="Y105" s="41" t="n">
        <x:v>76</x:v>
      </x:c>
      <x:c r="Z105" s="41" t="n">
        <x:v>53</x:v>
      </x:c>
      <x:c r="AA105" s="50" t="n">
        <x:f>K105*O105*Q105</x:f>
        <x:v>5018.0625</x:v>
      </x:c>
      <x:c r="AB105" s="50" t="n">
        <x:f>L105*O105*Q105</x:f>
        <x:v>9123.75</x:v>
      </x:c>
      <x:c r="AC105" s="50" t="n">
        <x:f>M105*O105*Q105</x:f>
        <x:v>16422.75</x:v>
      </x:c>
      <x:c r="AD105" s="50" t="n">
        <x:f>AB105*N105</x:f>
        <x:v>54742.5</x:v>
      </x:c>
      <x:c r="AE105" s="50" t="n">
        <x:f>MAX(0,N105*(AB105*W105-S105*O105-T105))</x:f>
        <x:v>1097.0175000000004</x:v>
      </x:c>
      <x:c r="AF105" s="50" t="n">
        <x:f>MAX(0,N105*(AB105*X105-S105*O105-T105))</x:f>
        <x:v>12866.655</x:v>
      </x:c>
      <x:c r="AG105" s="47" t="n">
        <x:f>(RANK.EQ(AD105,$AD$5:$AD$157,1)-1)/(COUNT($AD$5:$AD$157)-1)*100</x:f>
        <x:v>20.394736842105264</x:v>
      </x:c>
      <x:c r="AH105" s="47" t="n">
        <x:f>MAX(0,MIN(100,AG105*'Assumptions'!$B$5+V105*'Assumptions'!$B$6+Y105*'Assumptions'!$B$7+Z105*'Assumptions'!$B$8-(Q105-1)*'Assumptions'!$B$12))</x:f>
        <x:v>47.69868421052632</x:v>
      </x:c>
      <x:c r="AI105" s="51" t="str">
        <x:v>Low</x:v>
      </x:c>
      <x:c r="AJ105" s="51" t="str">
        <x:v>Specialists lack agents that can operate domain tools, preserve provenance, and reproduce results.</x:v>
      </x:c>
      <x:c r="AK105" s="53" t="str">
        <x:f>IF(AND(AH105&gt;=75,V105&gt;=65,Z105&gt;=60),"Build now",IF(AND(AH105&gt;=60,V105&gt;=50),"Validate next",IF(AH105&gt;=50,"Partner or monitor","Deprioritize")))</x:f>
        <x:v>Deprioritize</x:v>
      </x:c>
      <x:c r="AL105" s="51" t="str">
        <x:v>Bounded agents can complete standard cases with mandatory review.</x:v>
      </x:c>
      <x:c r="AM105" s="51" t="str">
        <x:v>/Users/jaibhagat/code/prismml/agents-last-exam/tasks/physical_sciences/adapt_vqe_molecular_energy/task_card.json</x:v>
      </x:c>
    </x:row>
    <x:row r="106">
      <x:c r="A106" s="40" t="n">
        <x:f>COUNTIF($AH$5:$AH$157,"&gt;"&amp;AH106)+COUNTIF($AH$5:AH106,AH106)</x:f>
        <x:v>100</x:v>
      </x:c>
      <x:c r="B106" s="51" t="str">
        <x:v>health_medicine/wsi_tumor_localization_1</x:v>
      </x:c>
      <x:c r="C106" s="51" t="str">
        <x:v>Whole-Slide Tumor Localization</x:v>
      </x:c>
      <x:c r="D106" s="51" t="str">
        <x:v>health_medicine</x:v>
      </x:c>
      <x:c r="E106" s="51" t="str">
        <x:v>Clinical Diagnostics &amp; Imaging</x:v>
      </x:c>
      <x:c r="F106" s="51" t="str">
        <x:v>Image, signal, or geospatial analysis</x:v>
      </x:c>
      <x:c r="G106" s="51" t="str">
        <x:v>Clinical data scientist or medical specialist</x:v>
      </x:c>
      <x:c r="H106" s="51" t="str">
        <x:v>Professional and related</x:v>
      </x:c>
      <x:c r="I106" s="52" t="n">
        <x:v>1.3</x:v>
      </x:c>
      <x:c r="J106" s="51" t="str">
        <x:v>Structured data artifact</x:v>
      </x:c>
      <x:c r="K106" s="43" t="n">
        <x:v>22</x:v>
      </x:c>
      <x:c r="L106" s="43" t="n">
        <x:v>40</x:v>
      </x:c>
      <x:c r="M106" s="43" t="n">
        <x:v>72</x:v>
      </x:c>
      <x:c r="N106" s="43" t="n">
        <x:v>24</x:v>
      </x:c>
      <x:c r="O106" s="44" t="n">
        <x:f>INDEX('Assumptions'!$B$24:$B$29,MATCH(H106,'Assumptions'!$A$24:$A$29,0))*I106</x:f>
        <x:v>94.887</x:v>
      </x:c>
      <x:c r="P106" s="41" t="str">
        <x:v>Critical</x:v>
      </x:c>
      <x:c r="Q106" s="45" t="n">
        <x:f>INDEX('Assumptions'!$B$18:$B$21,MATCH(P106,'Assumptions'!$A$18:$A$21,0))</x:f>
        <x:v>2.2</x:v>
      </x:c>
      <x:c r="R106" s="46" t="n">
        <x:v>0.4</x:v>
      </x:c>
      <x:c r="S106" s="47" t="n">
        <x:f>L106*R106</x:f>
        <x:v>16</x:v>
      </x:c>
      <x:c r="T106" s="48" t="n">
        <x:v>35</x:v>
      </x:c>
      <x:c r="U106" s="41" t="n">
        <x:v>3</x:v>
      </x:c>
      <x:c r="V106" s="41" t="n">
        <x:v>34</x:v>
      </x:c>
      <x:c r="W106" s="49" t="n">
        <x:f>V106/100*'Assumptions'!$B$9</x:f>
        <x:v>0.119</x:v>
      </x:c>
      <x:c r="X106" s="49" t="n">
        <x:f>MIN('Assumptions'!$B$11,V106/100*'Assumptions'!$B$10)</x:f>
        <x:v>0.26520000000000005</x:v>
      </x:c>
      <x:c r="Y106" s="41" t="n">
        <x:v>72</x:v>
      </x:c>
      <x:c r="Z106" s="41" t="n">
        <x:v>37</x:v>
      </x:c>
      <x:c r="AA106" s="50" t="n">
        <x:f>K106*O106*Q106</x:f>
        <x:v>4592.5308</x:v>
      </x:c>
      <x:c r="AB106" s="50" t="n">
        <x:f>L106*O106*Q106</x:f>
        <x:v>8350.056</x:v>
      </x:c>
      <x:c r="AC106" s="50" t="n">
        <x:f>M106*O106*Q106</x:f>
        <x:v>15030.1008</x:v>
      </x:c>
      <x:c r="AD106" s="50" t="n">
        <x:f>AB106*N106</x:f>
        <x:v>200401.344</x:v>
      </x:c>
      <x:c r="AE106" s="50" t="n">
        <x:f>MAX(0,N106*(AB106*W106-S106*O106-T106))</x:f>
        <x:v>0</x:v>
      </x:c>
      <x:c r="AF106" s="50" t="n">
        <x:f>MAX(0,N106*(AB106*X106-S106*O106-T106))</x:f>
        <x:v>15869.828428800014</x:v>
      </x:c>
      <x:c r="AG106" s="47" t="n">
        <x:f>(RANK.EQ(AD106,$AD$5:$AD$157,1)-1)/(COUNT($AD$5:$AD$157)-1)*100</x:f>
        <x:v>88.1578947368421</x:v>
      </x:c>
      <x:c r="AH106" s="47" t="n">
        <x:f>MAX(0,MIN(100,AG106*'Assumptions'!$B$5+V106*'Assumptions'!$B$6+Y106*'Assumptions'!$B$7+Z106*'Assumptions'!$B$8-(Q106-1)*'Assumptions'!$B$12))</x:f>
        <x:v>48.03947368421052</x:v>
      </x:c>
      <x:c r="AI106" s="51" t="str">
        <x:v>Low</x:v>
      </x:c>
      <x:c r="AJ106" s="51" t="str">
        <x:v>Niche image and signal workflows remain fragmented across specialist tools and manual QA.</x:v>
      </x:c>
      <x:c r="AK106" s="53" t="str">
        <x:f>IF(AND(AH106&gt;=75,V106&gt;=65,Z106&gt;=60),"Build now",IF(AND(AH106&gt;=60,V106&gt;=50),"Validate next",IF(AH106&gt;=50,"Partner or monitor","Deprioritize")))</x:f>
        <x:v>Deprioritize</x:v>
      </x:c>
      <x:c r="AL106" s="51" t="str">
        <x:v>Bounded agents can complete standard cases with mandatory review. Accountable professional signoff remains necessary.</x:v>
      </x:c>
      <x:c r="AM106" s="51" t="str">
        <x:v>/Users/jaibhagat/code/prismml/agents-last-exam/tasks/health_medicine/wsi_tumor_localization_1/task_card.json</x:v>
      </x:c>
    </x:row>
    <x:row r="107">
      <x:c r="A107" s="40" t="n">
        <x:f>COUNTIF($AH$5:$AH$157,"&gt;"&amp;AH107)+COUNTIF($AH$5:AH107,AH107)</x:f>
        <x:v>103</x:v>
      </x:c>
      <x:c r="B107" s="51" t="str">
        <x:v>life_sciences/WGS_Variant_Calling</x:v>
      </x:c>
      <x:c r="C107" s="51" t="str">
        <x:v>WGS Variant Calling</x:v>
      </x:c>
      <x:c r="D107" s="51" t="str">
        <x:v>life_sciences</x:v>
      </x:c>
      <x:c r="E107" s="51" t="str">
        <x:v>Genomics &amp; Sequence Analysis</x:v>
      </x:c>
      <x:c r="F107" s="51" t="str">
        <x:v>Scientific modeling and computation</x:v>
      </x:c>
      <x:c r="G107" s="51" t="str">
        <x:v>Bioinformatics or life-science researcher</x:v>
      </x:c>
      <x:c r="H107" s="51" t="str">
        <x:v>Professional and related</x:v>
      </x:c>
      <x:c r="I107" s="52" t="n">
        <x:v>1.25</x:v>
      </x:c>
      <x:c r="J107" s="51" t="str">
        <x:v>Structured data artifact</x:v>
      </x:c>
      <x:c r="K107" s="43" t="n">
        <x:v>44</x:v>
      </x:c>
      <x:c r="L107" s="43" t="n">
        <x:v>80</x:v>
      </x:c>
      <x:c r="M107" s="43" t="n">
        <x:v>144</x:v>
      </x:c>
      <x:c r="N107" s="43" t="n">
        <x:v>6</x:v>
      </x:c>
      <x:c r="O107" s="44" t="n">
        <x:f>INDEX('Assumptions'!$B$24:$B$29,MATCH(H107,'Assumptions'!$A$24:$A$29,0))*I107</x:f>
        <x:v>91.2375</x:v>
      </x:c>
      <x:c r="P107" s="41" t="str">
        <x:v>Medium</x:v>
      </x:c>
      <x:c r="Q107" s="45" t="n">
        <x:f>INDEX('Assumptions'!$B$18:$B$21,MATCH(P107,'Assumptions'!$A$18:$A$21,0))</x:f>
        <x:v>1.25</x:v>
      </x:c>
      <x:c r="R107" s="46" t="n">
        <x:v>0.18</x:v>
      </x:c>
      <x:c r="S107" s="47" t="n">
        <x:f>L107*R107</x:f>
        <x:v>14.399999999999999</x:v>
      </x:c>
      <x:c r="T107" s="48" t="n">
        <x:v>100</x:v>
      </x:c>
      <x:c r="U107" s="41" t="n">
        <x:v>3</x:v>
      </x:c>
      <x:c r="V107" s="41" t="n">
        <x:v>50</x:v>
      </x:c>
      <x:c r="W107" s="49" t="n">
        <x:f>V107/100*'Assumptions'!$B$9</x:f>
        <x:v>0.175</x:v>
      </x:c>
      <x:c r="X107" s="49" t="n">
        <x:f>MIN('Assumptions'!$B$11,V107/100*'Assumptions'!$B$10)</x:f>
        <x:v>0.39</x:v>
      </x:c>
      <x:c r="Y107" s="41" t="n">
        <x:v>76</x:v>
      </x:c>
      <x:c r="Z107" s="41" t="n">
        <x:v>53</x:v>
      </x:c>
      <x:c r="AA107" s="50" t="n">
        <x:f>K107*O107*Q107</x:f>
        <x:v>5018.0625</x:v>
      </x:c>
      <x:c r="AB107" s="50" t="n">
        <x:f>L107*O107*Q107</x:f>
        <x:v>9123.75</x:v>
      </x:c>
      <x:c r="AC107" s="50" t="n">
        <x:f>M107*O107*Q107</x:f>
        <x:v>16422.75</x:v>
      </x:c>
      <x:c r="AD107" s="50" t="n">
        <x:f>AB107*N107</x:f>
        <x:v>54742.5</x:v>
      </x:c>
      <x:c r="AE107" s="50" t="n">
        <x:f>MAX(0,N107*(AB107*W107-S107*O107-T107))</x:f>
        <x:v>1097.0175000000004</x:v>
      </x:c>
      <x:c r="AF107" s="50" t="n">
        <x:f>MAX(0,N107*(AB107*X107-S107*O107-T107))</x:f>
        <x:v>12866.655</x:v>
      </x:c>
      <x:c r="AG107" s="47" t="n">
        <x:f>(RANK.EQ(AD107,$AD$5:$AD$157,1)-1)/(COUNT($AD$5:$AD$157)-1)*100</x:f>
        <x:v>20.394736842105264</x:v>
      </x:c>
      <x:c r="AH107" s="47" t="n">
        <x:f>MAX(0,MIN(100,AG107*'Assumptions'!$B$5+V107*'Assumptions'!$B$6+Y107*'Assumptions'!$B$7+Z107*'Assumptions'!$B$8-(Q107-1)*'Assumptions'!$B$12))</x:f>
        <x:v>47.69868421052632</x:v>
      </x:c>
      <x:c r="AI107" s="51" t="str">
        <x:v>Low</x:v>
      </x:c>
      <x:c r="AJ107" s="51" t="str">
        <x:v>Specialists lack agents that can operate domain tools, preserve provenance, and reproduce results.</x:v>
      </x:c>
      <x:c r="AK107" s="53" t="str">
        <x:f>IF(AND(AH107&gt;=75,V107&gt;=65,Z107&gt;=60),"Build now",IF(AND(AH107&gt;=60,V107&gt;=50),"Validate next",IF(AH107&gt;=50,"Partner or monitor","Deprioritize")))</x:f>
        <x:v>Deprioritize</x:v>
      </x:c>
      <x:c r="AL107" s="51" t="str">
        <x:v>Bounded agents can complete standard cases with mandatory review.</x:v>
      </x:c>
      <x:c r="AM107" s="51" t="str">
        <x:v>/Users/jaibhagat/code/prismml/agents-last-exam/tasks/life_sciences/WGS_Variant_Calling/task_card.json</x:v>
      </x:c>
    </x:row>
    <x:row r="108">
      <x:c r="A108" s="40" t="n">
        <x:f>COUNTIF($AH$5:$AH$157,"&gt;"&amp;AH108)+COUNTIF($AH$5:AH108,AH108)</x:f>
        <x:v>104</x:v>
      </x:c>
      <x:c r="B108" s="51" t="str">
        <x:v>health_medicine/simglucose_safe_basal_control_instance_1</x:v>
      </x:c>
      <x:c r="C108" s="51" t="str">
        <x:v>SimGlucose Safe Basal Control</x:v>
      </x:c>
      <x:c r="D108" s="51" t="str">
        <x:v>health_medicine</x:v>
      </x:c>
      <x:c r="E108" s="51" t="str">
        <x:v>Therapeutic &amp; Oncology Services</x:v>
      </x:c>
      <x:c r="F108" s="51" t="str">
        <x:v>Software and data engineering</x:v>
      </x:c>
      <x:c r="G108" s="51" t="str">
        <x:v>Clinical data scientist or medical specialist</x:v>
      </x:c>
      <x:c r="H108" s="51" t="str">
        <x:v>Professional and related</x:v>
      </x:c>
      <x:c r="I108" s="52" t="n">
        <x:v>1.3</x:v>
      </x:c>
      <x:c r="J108" s="51" t="str">
        <x:v>Structured data artifact</x:v>
      </x:c>
      <x:c r="K108" s="43" t="n">
        <x:v>26</x:v>
      </x:c>
      <x:c r="L108" s="43" t="n">
        <x:v>48</x:v>
      </x:c>
      <x:c r="M108" s="43" t="n">
        <x:v>86</x:v>
      </x:c>
      <x:c r="N108" s="43" t="n">
        <x:v>10</x:v>
      </x:c>
      <x:c r="O108" s="44" t="n">
        <x:f>INDEX('Assumptions'!$B$24:$B$29,MATCH(H108,'Assumptions'!$A$24:$A$29,0))*I108</x:f>
        <x:v>94.887</x:v>
      </x:c>
      <x:c r="P108" s="41" t="str">
        <x:v>Critical</x:v>
      </x:c>
      <x:c r="Q108" s="45" t="n">
        <x:f>INDEX('Assumptions'!$B$18:$B$21,MATCH(P108,'Assumptions'!$A$18:$A$21,0))</x:f>
        <x:v>2.2</x:v>
      </x:c>
      <x:c r="R108" s="46" t="n">
        <x:v>0.4</x:v>
      </x:c>
      <x:c r="S108" s="47" t="n">
        <x:f>L108*R108</x:f>
        <x:v>19.200000000000003</x:v>
      </x:c>
      <x:c r="T108" s="48" t="n">
        <x:v>20</x:v>
      </x:c>
      <x:c r="U108" s="41" t="n">
        <x:v>3</x:v>
      </x:c>
      <x:c r="V108" s="41" t="n">
        <x:v>54</x:v>
      </x:c>
      <x:c r="W108" s="49" t="n">
        <x:f>V108/100*'Assumptions'!$B$9</x:f>
        <x:v>0.189</x:v>
      </x:c>
      <x:c r="X108" s="49" t="n">
        <x:f>MIN('Assumptions'!$B$11,V108/100*'Assumptions'!$B$10)</x:f>
        <x:v>0.4212</x:v>
      </x:c>
      <x:c r="Y108" s="41" t="n">
        <x:v>56</x:v>
      </x:c>
      <x:c r="Z108" s="41" t="n">
        <x:v>56</x:v>
      </x:c>
      <x:c r="AA108" s="50" t="n">
        <x:f>K108*O108*Q108</x:f>
        <x:v>5427.5364</x:v>
      </x:c>
      <x:c r="AB108" s="50" t="n">
        <x:f>L108*O108*Q108</x:f>
        <x:v>10020.067200000001</x:v>
      </x:c>
      <x:c r="AC108" s="50" t="n">
        <x:f>M108*O108*Q108</x:f>
        <x:v>17952.620400000003</x:v>
      </x:c>
      <x:c r="AD108" s="50" t="n">
        <x:f>AB108*N108</x:f>
        <x:v>100200.67200000002</x:v>
      </x:c>
      <x:c r="AE108" s="50" t="n">
        <x:f>MAX(0,N108*(AB108*W108-S108*O108-T108))</x:f>
        <x:v>519.6230080000009</x:v>
      </x:c>
      <x:c r="AF108" s="50" t="n">
        <x:f>MAX(0,N108*(AB108*X108-S108*O108-T108))</x:f>
        <x:v>23786.219046400005</x:v>
      </x:c>
      <x:c r="AG108" s="47" t="n">
        <x:f>(RANK.EQ(AD108,$AD$5:$AD$157,1)-1)/(COUNT($AD$5:$AD$157)-1)*100</x:f>
        <x:v>63.1578947368421</x:v>
      </x:c>
      <x:c r="AH108" s="47" t="n">
        <x:f>MAX(0,MIN(100,AG108*'Assumptions'!$B$5+V108*'Assumptions'!$B$6+Y108*'Assumptions'!$B$7+Z108*'Assumptions'!$B$8-(Q108-1)*'Assumptions'!$B$12))</x:f>
        <x:v>47.589473684210525</x:v>
      </x:c>
      <x:c r="AI108" s="51" t="str">
        <x:v>Low</x:v>
      </x:c>
      <x:c r="AJ108" s="51" t="str">
        <x:v>The gap is verified repair and migration inside constrained environments, with evidence that changes work.</x:v>
      </x:c>
      <x:c r="AK108" s="53" t="str">
        <x:f>IF(AND(AH108&gt;=75,V108&gt;=65,Z108&gt;=60),"Build now",IF(AND(AH108&gt;=60,V108&gt;=50),"Validate next",IF(AH108&gt;=50,"Partner or monitor","Deprioritize")))</x:f>
        <x:v>Deprioritize</x:v>
      </x:c>
      <x:c r="AL108" s="51" t="str">
        <x:v>Bounded agents can complete standard cases with mandatory review. Accountable professional signoff remains necessary.</x:v>
      </x:c>
      <x:c r="AM108" s="51" t="str">
        <x:v>/Users/jaibhagat/code/prismml/agents-last-exam/tasks/health_medicine/simglucose_safe_basal_control_instance_1/task_card.json</x:v>
      </x:c>
    </x:row>
    <x:row r="109">
      <x:c r="A109" s="40" t="n">
        <x:f>COUNTIF($AH$5:$AH$157,"&gt;"&amp;AH109)+COUNTIF($AH$5:AH109,AH109)</x:f>
        <x:v>105</x:v>
      </x:c>
      <x:c r="B109" s="51" t="str">
        <x:v>transport_safety/abm_hangzhou_metro</x:v>
      </x:c>
      <x:c r="C109" s="51" t="str">
        <x:v>Hangzhou Metro Passenger Simulation</x:v>
      </x:c>
      <x:c r="D109" s="51" t="str">
        <x:v>transport_safety</x:v>
      </x:c>
      <x:c r="E109" s="51" t="str">
        <x:v>Urban &amp; Spatial Planning</x:v>
      </x:c>
      <x:c r="F109" s="51" t="str">
        <x:v>Scientific modeling and computation</x:v>
      </x:c>
      <x:c r="G109" s="51" t="str">
        <x:v>Transportation or safety analyst</x:v>
      </x:c>
      <x:c r="H109" s="51" t="str">
        <x:v>Professional and related</x:v>
      </x:c>
      <x:c r="I109" s="52" t="n">
        <x:v>1.15</x:v>
      </x:c>
      <x:c r="J109" s="51" t="str">
        <x:v>Structured data artifact</x:v>
      </x:c>
      <x:c r="K109" s="43" t="n">
        <x:v>44</x:v>
      </x:c>
      <x:c r="L109" s="43" t="n">
        <x:v>80</x:v>
      </x:c>
      <x:c r="M109" s="43" t="n">
        <x:v>144</x:v>
      </x:c>
      <x:c r="N109" s="43" t="n">
        <x:v>6</x:v>
      </x:c>
      <x:c r="O109" s="44" t="n">
        <x:f>INDEX('Assumptions'!$B$24:$B$29,MATCH(H109,'Assumptions'!$A$24:$A$29,0))*I109</x:f>
        <x:v>83.93849999999999</x:v>
      </x:c>
      <x:c r="P109" s="41" t="str">
        <x:v>High</x:v>
      </x:c>
      <x:c r="Q109" s="45" t="n">
        <x:f>INDEX('Assumptions'!$B$18:$B$21,MATCH(P109,'Assumptions'!$A$18:$A$21,0))</x:f>
        <x:v>1.6</x:v>
      </x:c>
      <x:c r="R109" s="46" t="n">
        <x:v>0.28</x:v>
      </x:c>
      <x:c r="S109" s="47" t="n">
        <x:f>L109*R109</x:f>
        <x:v>22.400000000000002</x:v>
      </x:c>
      <x:c r="T109" s="48" t="n">
        <x:v>100</x:v>
      </x:c>
      <x:c r="U109" s="41" t="n">
        <x:v>3</x:v>
      </x:c>
      <x:c r="V109" s="41" t="n">
        <x:v>50</x:v>
      </x:c>
      <x:c r="W109" s="49" t="n">
        <x:f>V109/100*'Assumptions'!$B$9</x:f>
        <x:v>0.175</x:v>
      </x:c>
      <x:c r="X109" s="49" t="n">
        <x:f>MIN('Assumptions'!$B$11,V109/100*'Assumptions'!$B$10)</x:f>
        <x:v>0.39</x:v>
      </x:c>
      <x:c r="Y109" s="41" t="n">
        <x:v>76</x:v>
      </x:c>
      <x:c r="Z109" s="41" t="n">
        <x:v>50</x:v>
      </x:c>
      <x:c r="AA109" s="50" t="n">
        <x:f>K109*O109*Q109</x:f>
        <x:v>5909.270399999999</x:v>
      </x:c>
      <x:c r="AB109" s="50" t="n">
        <x:f>L109*O109*Q109</x:f>
        <x:v>10744.127999999999</x:v>
      </x:c>
      <x:c r="AC109" s="50" t="n">
        <x:f>M109*O109*Q109</x:f>
        <x:v>19339.430399999997</x:v>
      </x:c>
      <x:c r="AD109" s="50" t="n">
        <x:f>AB109*N109</x:f>
        <x:v>64464.768</x:v>
      </x:c>
      <x:c r="AE109" s="50" t="n">
        <x:f>MAX(0,N109*(AB109*W109-S109*O109-T109))</x:f>
        <x:v>0</x:v>
      </x:c>
      <x:c r="AF109" s="50" t="n">
        <x:f>MAX(0,N109*(AB109*X109-S109*O109-T109))</x:f>
        <x:v>13259.925119999998</x:v>
      </x:c>
      <x:c r="AG109" s="47" t="n">
        <x:f>(RANK.EQ(AD109,$AD$5:$AD$157,1)-1)/(COUNT($AD$5:$AD$157)-1)*100</x:f>
        <x:v>33.55263157894737</x:v>
      </x:c>
      <x:c r="AH109" s="47" t="n">
        <x:f>MAX(0,MIN(100,AG109*'Assumptions'!$B$5+V109*'Assumptions'!$B$6+Y109*'Assumptions'!$B$7+Z109*'Assumptions'!$B$8-(Q109-1)*'Assumptions'!$B$12))</x:f>
        <x:v>47.58815789473684</x:v>
      </x:c>
      <x:c r="AI109" s="51" t="str">
        <x:v>Low</x:v>
      </x:c>
      <x:c r="AJ109" s="51" t="str">
        <x:v>Specialists lack agents that can operate domain tools, preserve provenance, and reproduce results.</x:v>
      </x:c>
      <x:c r="AK109" s="53" t="str">
        <x:f>IF(AND(AH109&gt;=75,V109&gt;=65,Z109&gt;=60),"Build now",IF(AND(AH109&gt;=60,V109&gt;=50),"Validate next",IF(AH109&gt;=50,"Partner or monitor","Deprioritize")))</x:f>
        <x:v>Deprioritize</x:v>
      </x:c>
      <x:c r="AL109" s="51" t="str">
        <x:v>Bounded agents can complete standard cases with mandatory review.</x:v>
      </x:c>
      <x:c r="AM109" s="51" t="str">
        <x:v>/Users/jaibhagat/code/prismml/agents-last-exam/tasks/transport_safety/abm_hangzhou_metro/task_card.json</x:v>
      </x:c>
    </x:row>
    <x:row r="110">
      <x:c r="A110" s="40" t="n">
        <x:f>COUNTIF($AH$5:$AH$157,"&gt;"&amp;AH110)+COUNTIF($AH$5:AH110,AH110)</x:f>
        <x:v>106</x:v>
      </x:c>
      <x:c r="B110" s="51" t="str">
        <x:v>health_medicine/ecg_superclass_ptbxl</x:v>
      </x:c>
      <x:c r="C110" s="51" t="str">
        <x:v>ECG Superclass Ptbxl</x:v>
      </x:c>
      <x:c r="D110" s="51" t="str">
        <x:v>health_medicine</x:v>
      </x:c>
      <x:c r="E110" s="51" t="str">
        <x:v>Therapeutic &amp; Oncology Services</x:v>
      </x:c>
      <x:c r="F110" s="51" t="str">
        <x:v>Image, signal, or geospatial analysis</x:v>
      </x:c>
      <x:c r="G110" s="51" t="str">
        <x:v>Clinical data scientist or medical specialist</x:v>
      </x:c>
      <x:c r="H110" s="51" t="str">
        <x:v>Professional and related</x:v>
      </x:c>
      <x:c r="I110" s="52" t="n">
        <x:v>1.3</x:v>
      </x:c>
      <x:c r="J110" s="51" t="str">
        <x:v>Structured data artifact</x:v>
      </x:c>
      <x:c r="K110" s="43" t="n">
        <x:v>17</x:v>
      </x:c>
      <x:c r="L110" s="43" t="n">
        <x:v>30</x:v>
      </x:c>
      <x:c r="M110" s="43" t="n">
        <x:v>54</x:v>
      </x:c>
      <x:c r="N110" s="43" t="n">
        <x:v>24</x:v>
      </x:c>
      <x:c r="O110" s="44" t="n">
        <x:f>INDEX('Assumptions'!$B$24:$B$29,MATCH(H110,'Assumptions'!$A$24:$A$29,0))*I110</x:f>
        <x:v>94.887</x:v>
      </x:c>
      <x:c r="P110" s="41" t="str">
        <x:v>Critical</x:v>
      </x:c>
      <x:c r="Q110" s="45" t="n">
        <x:f>INDEX('Assumptions'!$B$18:$B$21,MATCH(P110,'Assumptions'!$A$18:$A$21,0))</x:f>
        <x:v>2.2</x:v>
      </x:c>
      <x:c r="R110" s="46" t="n">
        <x:v>0.4</x:v>
      </x:c>
      <x:c r="S110" s="47" t="n">
        <x:f>L110*R110</x:f>
        <x:v>12</x:v>
      </x:c>
      <x:c r="T110" s="48" t="n">
        <x:v>35</x:v>
      </x:c>
      <x:c r="U110" s="41" t="n">
        <x:v>3</x:v>
      </x:c>
      <x:c r="V110" s="41" t="n">
        <x:v>34</x:v>
      </x:c>
      <x:c r="W110" s="49" t="n">
        <x:f>V110/100*'Assumptions'!$B$9</x:f>
        <x:v>0.119</x:v>
      </x:c>
      <x:c r="X110" s="49" t="n">
        <x:f>MIN('Assumptions'!$B$11,V110/100*'Assumptions'!$B$10)</x:f>
        <x:v>0.26520000000000005</x:v>
      </x:c>
      <x:c r="Y110" s="41" t="n">
        <x:v>72</x:v>
      </x:c>
      <x:c r="Z110" s="41" t="n">
        <x:v>42</x:v>
      </x:c>
      <x:c r="AA110" s="50" t="n">
        <x:f>K110*O110*Q110</x:f>
        <x:v>3548.7738000000004</x:v>
      </x:c>
      <x:c r="AB110" s="50" t="n">
        <x:f>L110*O110*Q110</x:f>
        <x:v>6262.542</x:v>
      </x:c>
      <x:c r="AC110" s="50" t="n">
        <x:f>M110*O110*Q110</x:f>
        <x:v>11272.575600000002</x:v>
      </x:c>
      <x:c r="AD110" s="50" t="n">
        <x:f>AB110*N110</x:f>
        <x:v>150301.008</x:v>
      </x:c>
      <x:c r="AE110" s="50" t="n">
        <x:f>MAX(0,N110*(AB110*W110-S110*O110-T110))</x:f>
        <x:v>0</x:v>
      </x:c>
      <x:c r="AF110" s="50" t="n">
        <x:f>MAX(0,N110*(AB110*X110-S110*O110-T110))</x:f>
        <x:v>11692.37132160001</x:v>
      </x:c>
      <x:c r="AG110" s="47" t="n">
        <x:f>(RANK.EQ(AD110,$AD$5:$AD$157,1)-1)/(COUNT($AD$5:$AD$157)-1)*100</x:f>
        <x:v>80.92105263157895</x:v>
      </x:c>
      <x:c r="AH110" s="47" t="n">
        <x:f>MAX(0,MIN(100,AG110*'Assumptions'!$B$5+V110*'Assumptions'!$B$6+Y110*'Assumptions'!$B$7+Z110*'Assumptions'!$B$8-(Q110-1)*'Assumptions'!$B$12))</x:f>
        <x:v>47.23026315789473</x:v>
      </x:c>
      <x:c r="AI110" s="51" t="str">
        <x:v>Low</x:v>
      </x:c>
      <x:c r="AJ110" s="51" t="str">
        <x:v>Niche image and signal workflows remain fragmented across specialist tools and manual QA.</x:v>
      </x:c>
      <x:c r="AK110" s="53" t="str">
        <x:f>IF(AND(AH110&gt;=75,V110&gt;=65,Z110&gt;=60),"Build now",IF(AND(AH110&gt;=60,V110&gt;=50),"Validate next",IF(AH110&gt;=50,"Partner or monitor","Deprioritize")))</x:f>
        <x:v>Deprioritize</x:v>
      </x:c>
      <x:c r="AL110" s="51" t="str">
        <x:v>Bounded agents can complete standard cases with mandatory review. Accountable professional signoff remains necessary.</x:v>
      </x:c>
      <x:c r="AM110" s="51" t="str">
        <x:v>/Users/jaibhagat/code/prismml/agents-last-exam/tasks/health_medicine/ecg_superclass_ptbxl/task_card.json</x:v>
      </x:c>
    </x:row>
    <x:row r="111">
      <x:c r="A111" s="40" t="n">
        <x:f>COUNTIF($AH$5:$AH$157,"&gt;"&amp;AH111)+COUNTIF($AH$5:AH111,AH111)</x:f>
        <x:v>107</x:v>
      </x:c>
      <x:c r="B111" s="51" t="str">
        <x:v>engineering/abb_irb6700_asset_to_urdf_instance_1</x:v>
      </x:c>
      <x:c r="C111" s="51" t="str">
        <x:v>ABB IRB6700 Asset To URDF</x:v>
      </x:c>
      <x:c r="D111" s="51" t="str">
        <x:v>engineering</x:v>
      </x:c>
      <x:c r="E111" s="51" t="str">
        <x:v>Robotics &amp; Autonomous Systems</x:v>
      </x:c>
      <x:c r="F111" s="51" t="str">
        <x:v>Software and data engineering</x:v>
      </x:c>
      <x:c r="G111" s="51" t="str">
        <x:v>Specialist engineer</x:v>
      </x:c>
      <x:c r="H111" s="51" t="str">
        <x:v>Professional and related</x:v>
      </x:c>
      <x:c r="I111" s="52" t="n">
        <x:v>1.2</x:v>
      </x:c>
      <x:c r="J111" s="51" t="str">
        <x:v>Structured data artifact</x:v>
      </x:c>
      <x:c r="K111" s="43" t="n">
        <x:v>26</x:v>
      </x:c>
      <x:c r="L111" s="43" t="n">
        <x:v>48</x:v>
      </x:c>
      <x:c r="M111" s="43" t="n">
        <x:v>86</x:v>
      </x:c>
      <x:c r="N111" s="43" t="n">
        <x:v>10</x:v>
      </x:c>
      <x:c r="O111" s="44" t="n">
        <x:f>INDEX('Assumptions'!$B$24:$B$29,MATCH(H111,'Assumptions'!$A$24:$A$29,0))*I111</x:f>
        <x:v>87.588</x:v>
      </x:c>
      <x:c r="P111" s="41" t="str">
        <x:v>Critical</x:v>
      </x:c>
      <x:c r="Q111" s="45" t="n">
        <x:f>INDEX('Assumptions'!$B$18:$B$21,MATCH(P111,'Assumptions'!$A$18:$A$21,0))</x:f>
        <x:v>2.2</x:v>
      </x:c>
      <x:c r="R111" s="46" t="n">
        <x:v>0.4</x:v>
      </x:c>
      <x:c r="S111" s="47" t="n">
        <x:f>L111*R111</x:f>
        <x:v>19.200000000000003</x:v>
      </x:c>
      <x:c r="T111" s="48" t="n">
        <x:v>20</x:v>
      </x:c>
      <x:c r="U111" s="41" t="n">
        <x:v>3</x:v>
      </x:c>
      <x:c r="V111" s="41" t="n">
        <x:v>54</x:v>
      </x:c>
      <x:c r="W111" s="49" t="n">
        <x:f>V111/100*'Assumptions'!$B$9</x:f>
        <x:v>0.189</x:v>
      </x:c>
      <x:c r="X111" s="49" t="n">
        <x:f>MIN('Assumptions'!$B$11,V111/100*'Assumptions'!$B$10)</x:f>
        <x:v>0.4212</x:v>
      </x:c>
      <x:c r="Y111" s="41" t="n">
        <x:v>56</x:v>
      </x:c>
      <x:c r="Z111" s="41" t="n">
        <x:v>56</x:v>
      </x:c>
      <x:c r="AA111" s="50" t="n">
        <x:f>K111*O111*Q111</x:f>
        <x:v>5010.033600000001</x:v>
      </x:c>
      <x:c r="AB111" s="50" t="n">
        <x:f>L111*O111*Q111</x:f>
        <x:v>9249.292800000001</x:v>
      </x:c>
      <x:c r="AC111" s="50" t="n">
        <x:f>M111*O111*Q111</x:f>
        <x:v>16571.6496</x:v>
      </x:c>
      <x:c r="AD111" s="50" t="n">
        <x:f>AB111*N111</x:f>
        <x:v>92492.92800000001</x:v>
      </x:c>
      <x:c r="AE111" s="50" t="n">
        <x:f>MAX(0,N111*(AB111*W111-S111*O111-T111))</x:f>
        <x:v>464.26739200000156</x:v>
      </x:c>
      <x:c r="AF111" s="50" t="n">
        <x:f>MAX(0,N111*(AB111*X111-S111*O111-T111))</x:f>
        <x:v>21941.125273600006</x:v>
      </x:c>
      <x:c r="AG111" s="47" t="n">
        <x:f>(RANK.EQ(AD111,$AD$5:$AD$157,1)-1)/(COUNT($AD$5:$AD$157)-1)*100</x:f>
        <x:v>59.86842105263158</x:v>
      </x:c>
      <x:c r="AH111" s="47" t="n">
        <x:f>MAX(0,MIN(100,AG111*'Assumptions'!$B$5+V111*'Assumptions'!$B$6+Y111*'Assumptions'!$B$7+Z111*'Assumptions'!$B$8-(Q111-1)*'Assumptions'!$B$12))</x:f>
        <x:v>46.767105263157895</x:v>
      </x:c>
      <x:c r="AI111" s="51" t="str">
        <x:v>Low</x:v>
      </x:c>
      <x:c r="AJ111" s="51" t="str">
        <x:v>The gap is verified repair and migration inside constrained environments, with evidence that changes work.</x:v>
      </x:c>
      <x:c r="AK111" s="53" t="str">
        <x:f>IF(AND(AH111&gt;=75,V111&gt;=65,Z111&gt;=60),"Build now",IF(AND(AH111&gt;=60,V111&gt;=50),"Validate next",IF(AH111&gt;=50,"Partner or monitor","Deprioritize")))</x:f>
        <x:v>Deprioritize</x:v>
      </x:c>
      <x:c r="AL111" s="51" t="str">
        <x:v>Bounded agents can complete standard cases with mandatory review. Accountable professional signoff remains necessary.</x:v>
      </x:c>
      <x:c r="AM111" s="51" t="str">
        <x:v>/Users/jaibhagat/code/prismml/agents-last-exam/tasks/engineering/abb_irb6700_asset_to_urdf_instance_1/task_card.json</x:v>
      </x:c>
    </x:row>
    <x:row r="112">
      <x:c r="A112" s="40" t="n">
        <x:f>COUNTIF($AH$5:$AH$157,"&gt;"&amp;AH112)+COUNTIF($AH$5:AH112,AH112)</x:f>
        <x:v>108</x:v>
      </x:c>
      <x:c r="B112" s="51" t="str">
        <x:v>computing_math/data_pipeline_etl_instance_1</x:v>
      </x:c>
      <x:c r="C112" s="51" t="str">
        <x:v>Retail ETL Warehouse Cleanup</x:v>
      </x:c>
      <x:c r="D112" s="51" t="str">
        <x:v>computing_math</x:v>
      </x:c>
      <x:c r="E112" s="51" t="str">
        <x:v>Data &amp; Analytics Engineering</x:v>
      </x:c>
      <x:c r="F112" s="51" t="str">
        <x:v>Software and data engineering</x:v>
      </x:c>
      <x:c r="G112" s="51" t="str">
        <x:v>Software engineer or data scientist</x:v>
      </x:c>
      <x:c r="H112" s="51" t="str">
        <x:v>Professional and related</x:v>
      </x:c>
      <x:c r="I112" s="52" t="n">
        <x:v>1.15</x:v>
      </x:c>
      <x:c r="J112" s="51" t="str">
        <x:v>Structured data artifact</x:v>
      </x:c>
      <x:c r="K112" s="43" t="n">
        <x:v>26</x:v>
      </x:c>
      <x:c r="L112" s="43" t="n">
        <x:v>48</x:v>
      </x:c>
      <x:c r="M112" s="43" t="n">
        <x:v>86</x:v>
      </x:c>
      <x:c r="N112" s="43" t="n">
        <x:v>10</x:v>
      </x:c>
      <x:c r="O112" s="44" t="n">
        <x:f>INDEX('Assumptions'!$B$24:$B$29,MATCH(H112,'Assumptions'!$A$24:$A$29,0))*I112</x:f>
        <x:v>83.93849999999999</x:v>
      </x:c>
      <x:c r="P112" s="41" t="str">
        <x:v>Low</x:v>
      </x:c>
      <x:c r="Q112" s="45" t="n">
        <x:f>INDEX('Assumptions'!$B$18:$B$21,MATCH(P112,'Assumptions'!$A$18:$A$21,0))</x:f>
        <x:v>1</x:v>
      </x:c>
      <x:c r="R112" s="46" t="n">
        <x:v>0.1</x:v>
      </x:c>
      <x:c r="S112" s="47" t="n">
        <x:f>L112*R112</x:f>
        <x:v>4.800000000000001</x:v>
      </x:c>
      <x:c r="T112" s="48" t="n">
        <x:v>20</x:v>
      </x:c>
      <x:c r="U112" s="41" t="n">
        <x:v>4</x:v>
      </x:c>
      <x:c r="V112" s="41" t="n">
        <x:v>64</x:v>
      </x:c>
      <x:c r="W112" s="49" t="n">
        <x:f>V112/100*'Assumptions'!$B$9</x:f>
        <x:v>0.22399999999999998</x:v>
      </x:c>
      <x:c r="X112" s="49" t="n">
        <x:f>MIN('Assumptions'!$B$11,V112/100*'Assumptions'!$B$10)</x:f>
        <x:v>0.49920000000000003</x:v>
      </x:c>
      <x:c r="Y112" s="41" t="n">
        <x:v>48</x:v>
      </x:c>
      <x:c r="Z112" s="41" t="n">
        <x:v>76</x:v>
      </x:c>
      <x:c r="AA112" s="50" t="n">
        <x:f>K112*O112*Q112</x:f>
        <x:v>2182.401</x:v>
      </x:c>
      <x:c r="AB112" s="50" t="n">
        <x:f>L112*O112*Q112</x:f>
        <x:v>4029.048</x:v>
      </x:c>
      <x:c r="AC112" s="50" t="n">
        <x:f>M112*O112*Q112</x:f>
        <x:v>7218.710999999999</x:v>
      </x:c>
      <x:c r="AD112" s="50" t="n">
        <x:f>AB112*N112</x:f>
        <x:v>40290.479999999996</x:v>
      </x:c>
      <x:c r="AE112" s="50" t="n">
        <x:f>MAX(0,N112*(AB112*W112-S112*O112-T112))</x:f>
        <x:v>4796.019519999999</x:v>
      </x:c>
      <x:c r="AF112" s="50" t="n">
        <x:f>MAX(0,N112*(AB112*X112-S112*O112-T112))</x:f>
        <x:v>15883.959616</x:v>
      </x:c>
      <x:c r="AG112" s="47" t="n">
        <x:f>(RANK.EQ(AD112,$AD$5:$AD$157,1)-1)/(COUNT($AD$5:$AD$157)-1)*100</x:f>
        <x:v>1.3157894736842104</x:v>
      </x:c>
      <x:c r="AH112" s="47" t="n">
        <x:f>MAX(0,MIN(100,AG112*'Assumptions'!$B$5+V112*'Assumptions'!$B$6+Y112*'Assumptions'!$B$7+Z112*'Assumptions'!$B$8-(Q112-1)*'Assumptions'!$B$12))</x:f>
        <x:v>46.72894736842105</x:v>
      </x:c>
      <x:c r="AI112" s="51" t="str">
        <x:v>Low</x:v>
      </x:c>
      <x:c r="AJ112" s="51" t="str">
        <x:v>The gap is verified repair and migration inside constrained environments, with evidence that changes work.</x:v>
      </x:c>
      <x:c r="AK112" s="53" t="str">
        <x:f>IF(AND(AH112&gt;=75,V112&gt;=65,Z112&gt;=60),"Build now",IF(AND(AH112&gt;=60,V112&gt;=50),"Validate next",IF(AH112&gt;=50,"Partner or monitor","Deprioritize")))</x:f>
        <x:v>Deprioritize</x:v>
      </x:c>
      <x:c r="AL112" s="51" t="str">
        <x:v>Production automation is feasible for standard cases with exception routing.</x:v>
      </x:c>
      <x:c r="AM112" s="51" t="str">
        <x:v>/Users/jaibhagat/code/prismml/agents-last-exam/tasks/computing_math/data_pipeline_etl_instance_1/task_card.json</x:v>
      </x:c>
    </x:row>
    <x:row r="113">
      <x:c r="A113" s="40" t="n">
        <x:f>COUNTIF($AH$5:$AH$157,"&gt;"&amp;AH113)+COUNTIF($AH$5:AH113,AH113)</x:f>
        <x:v>110</x:v>
      </x:c>
      <x:c r="B113" s="51" t="str">
        <x:v>computing_math/ising_post_measurement_1</x:v>
      </x:c>
      <x:c r="C113" s="51" t="str">
        <x:v>Post-Measurement States for a Quantum Ising Chain</x:v>
      </x:c>
      <x:c r="D113" s="51" t="str">
        <x:v>computing_math</x:v>
      </x:c>
      <x:c r="E113" s="51" t="str">
        <x:v>Quantum Computing</x:v>
      </x:c>
      <x:c r="F113" s="51" t="str">
        <x:v>Scientific modeling and computation</x:v>
      </x:c>
      <x:c r="G113" s="51" t="str">
        <x:v>Software engineer or data scientist</x:v>
      </x:c>
      <x:c r="H113" s="51" t="str">
        <x:v>Professional and related</x:v>
      </x:c>
      <x:c r="I113" s="52" t="n">
        <x:v>1.15</x:v>
      </x:c>
      <x:c r="J113" s="51" t="str">
        <x:v>Structured data artifact</x:v>
      </x:c>
      <x:c r="K113" s="43" t="n">
        <x:v>44</x:v>
      </x:c>
      <x:c r="L113" s="43" t="n">
        <x:v>80</x:v>
      </x:c>
      <x:c r="M113" s="43" t="n">
        <x:v>144</x:v>
      </x:c>
      <x:c r="N113" s="43" t="n">
        <x:v>6</x:v>
      </x:c>
      <x:c r="O113" s="44" t="n">
        <x:f>INDEX('Assumptions'!$B$24:$B$29,MATCH(H113,'Assumptions'!$A$24:$A$29,0))*I113</x:f>
        <x:v>83.93849999999999</x:v>
      </x:c>
      <x:c r="P113" s="41" t="str">
        <x:v>Low</x:v>
      </x:c>
      <x:c r="Q113" s="45" t="n">
        <x:f>INDEX('Assumptions'!$B$18:$B$21,MATCH(P113,'Assumptions'!$A$18:$A$21,0))</x:f>
        <x:v>1</x:v>
      </x:c>
      <x:c r="R113" s="46" t="n">
        <x:v>0.1</x:v>
      </x:c>
      <x:c r="S113" s="47" t="n">
        <x:f>L113*R113</x:f>
        <x:v>8</x:v>
      </x:c>
      <x:c r="T113" s="48" t="n">
        <x:v>100</x:v>
      </x:c>
      <x:c r="U113" s="41" t="n">
        <x:v>3</x:v>
      </x:c>
      <x:c r="V113" s="41" t="n">
        <x:v>50</x:v>
      </x:c>
      <x:c r="W113" s="49" t="n">
        <x:f>V113/100*'Assumptions'!$B$9</x:f>
        <x:v>0.175</x:v>
      </x:c>
      <x:c r="X113" s="49" t="n">
        <x:f>MIN('Assumptions'!$B$11,V113/100*'Assumptions'!$B$10)</x:f>
        <x:v>0.39</x:v>
      </x:c>
      <x:c r="Y113" s="41" t="n">
        <x:v>76</x:v>
      </x:c>
      <x:c r="Z113" s="41" t="n">
        <x:v>58</x:v>
      </x:c>
      <x:c r="AA113" s="50" t="n">
        <x:f>K113*O113*Q113</x:f>
        <x:v>3693.2939999999994</x:v>
      </x:c>
      <x:c r="AB113" s="50" t="n">
        <x:f>L113*O113*Q113</x:f>
        <x:v>6715.079999999999</x:v>
      </x:c>
      <x:c r="AC113" s="50" t="n">
        <x:f>M113*O113*Q113</x:f>
        <x:v>12087.143999999998</x:v>
      </x:c>
      <x:c r="AD113" s="50" t="n">
        <x:f>AB113*N113</x:f>
        <x:v>40290.479999999996</x:v>
      </x:c>
      <x:c r="AE113" s="50" t="n">
        <x:f>MAX(0,N113*(AB113*W113-S113*O113-T113))</x:f>
        <x:v>2421.7859999999982</x:v>
      </x:c>
      <x:c r="AF113" s="50" t="n">
        <x:f>MAX(0,N113*(AB113*X113-S113*O113-T113))</x:f>
        <x:v>11084.2392</x:v>
      </x:c>
      <x:c r="AG113" s="47" t="n">
        <x:f>(RANK.EQ(AD113,$AD$5:$AD$157,1)-1)/(COUNT($AD$5:$AD$157)-1)*100</x:f>
        <x:v>1.3157894736842104</x:v>
      </x:c>
      <x:c r="AH113" s="47" t="n">
        <x:f>MAX(0,MIN(100,AG113*'Assumptions'!$B$5+V113*'Assumptions'!$B$6+Y113*'Assumptions'!$B$7+Z113*'Assumptions'!$B$8-(Q113-1)*'Assumptions'!$B$12))</x:f>
        <x:v>45.928947368421056</x:v>
      </x:c>
      <x:c r="AI113" s="51" t="str">
        <x:v>Low</x:v>
      </x:c>
      <x:c r="AJ113" s="51" t="str">
        <x:v>Specialists lack agents that can operate domain tools, preserve provenance, and reproduce results.</x:v>
      </x:c>
      <x:c r="AK113" s="53" t="str">
        <x:f>IF(AND(AH113&gt;=75,V113&gt;=65,Z113&gt;=60),"Build now",IF(AND(AH113&gt;=60,V113&gt;=50),"Validate next",IF(AH113&gt;=50,"Partner or monitor","Deprioritize")))</x:f>
        <x:v>Deprioritize</x:v>
      </x:c>
      <x:c r="AL113" s="51" t="str">
        <x:v>Bounded agents can complete standard cases with mandatory review.</x:v>
      </x:c>
      <x:c r="AM113" s="51" t="str">
        <x:v>/Users/jaibhagat/code/prismml/agents-last-exam/tasks/computing_math/ising_post_measurement_1/task_card.json</x:v>
      </x:c>
    </x:row>
    <x:row r="114">
      <x:c r="A114" s="40" t="n">
        <x:f>COUNTIF($AH$5:$AH$157,"&gt;"&amp;AH114)+COUNTIF($AH$5:AH114,AH114)</x:f>
        <x:v>109</x:v>
      </x:c>
      <x:c r="B114" s="51" t="str">
        <x:v>engineering/aerospace_low_thrust_trajectory</x:v>
      </x:c>
      <x:c r="C114" s="51" t="str">
        <x:v>Low-Thrust LEO To GEO Trajectory</x:v>
      </x:c>
      <x:c r="D114" s="51" t="str">
        <x:v>engineering</x:v>
      </x:c>
      <x:c r="E114" s="51" t="str">
        <x:v>Aerospace &amp; Mechanical Engineering</x:v>
      </x:c>
      <x:c r="F114" s="51" t="str">
        <x:v>Scientific modeling and computation</x:v>
      </x:c>
      <x:c r="G114" s="51" t="str">
        <x:v>Specialist engineer</x:v>
      </x:c>
      <x:c r="H114" s="51" t="str">
        <x:v>Professional and related</x:v>
      </x:c>
      <x:c r="I114" s="52" t="n">
        <x:v>1.2</x:v>
      </x:c>
      <x:c r="J114" s="51" t="str">
        <x:v>Structured data artifact</x:v>
      </x:c>
      <x:c r="K114" s="43" t="n">
        <x:v>66</x:v>
      </x:c>
      <x:c r="L114" s="43" t="n">
        <x:v>120</x:v>
      </x:c>
      <x:c r="M114" s="43" t="n">
        <x:v>216</x:v>
      </x:c>
      <x:c r="N114" s="43" t="n">
        <x:v>6</x:v>
      </x:c>
      <x:c r="O114" s="44" t="n">
        <x:f>INDEX('Assumptions'!$B$24:$B$29,MATCH(H114,'Assumptions'!$A$24:$A$29,0))*I114</x:f>
        <x:v>87.588</x:v>
      </x:c>
      <x:c r="P114" s="41" t="str">
        <x:v>Critical</x:v>
      </x:c>
      <x:c r="Q114" s="45" t="n">
        <x:f>INDEX('Assumptions'!$B$18:$B$21,MATCH(P114,'Assumptions'!$A$18:$A$21,0))</x:f>
        <x:v>2.2</x:v>
      </x:c>
      <x:c r="R114" s="46" t="n">
        <x:v>0.4</x:v>
      </x:c>
      <x:c r="S114" s="47" t="n">
        <x:f>L114*R114</x:f>
        <x:v>48</x:v>
      </x:c>
      <x:c r="T114" s="48" t="n">
        <x:v>100</x:v>
      </x:c>
      <x:c r="U114" s="41" t="n">
        <x:v>2</x:v>
      </x:c>
      <x:c r="V114" s="41" t="n">
        <x:v>32</x:v>
      </x:c>
      <x:c r="W114" s="49" t="n">
        <x:f>V114/100*'Assumptions'!$B$9</x:f>
        <x:v>0.11199999999999999</x:v>
      </x:c>
      <x:c r="X114" s="49" t="n">
        <x:f>MIN('Assumptions'!$B$11,V114/100*'Assumptions'!$B$10)</x:f>
        <x:v>0.24960000000000002</x:v>
      </x:c>
      <x:c r="Y114" s="41" t="n">
        <x:v>76</x:v>
      </x:c>
      <x:c r="Z114" s="41" t="n">
        <x:v>38</x:v>
      </x:c>
      <x:c r="AA114" s="50" t="n">
        <x:f>K114*O114*Q114</x:f>
        <x:v>12717.777600000001</x:v>
      </x:c>
      <x:c r="AB114" s="50" t="n">
        <x:f>L114*O114*Q114</x:f>
        <x:v>23123.232</x:v>
      </x:c>
      <x:c r="AC114" s="50" t="n">
        <x:f>M114*O114*Q114</x:f>
        <x:v>41621.8176</x:v>
      </x:c>
      <x:c r="AD114" s="50" t="n">
        <x:f>AB114*N114</x:f>
        <x:v>138739.392</x:v>
      </x:c>
      <x:c r="AE114" s="50" t="n">
        <x:f>MAX(0,N114*(AB114*W114-S114*O114-T114))</x:f>
        <x:v>0</x:v>
      </x:c>
      <x:c r="AF114" s="50" t="n">
        <x:f>MAX(0,N114*(AB114*X114-S114*O114-T114))</x:f>
        <x:v>8804.008243200004</x:v>
      </x:c>
      <x:c r="AG114" s="47" t="n">
        <x:f>(RANK.EQ(AD114,$AD$5:$AD$157,1)-1)/(COUNT($AD$5:$AD$157)-1)*100</x:f>
        <x:v>78.28947368421053</x:v>
      </x:c>
      <x:c r="AH114" s="47" t="n">
        <x:f>MAX(0,MIN(100,AG114*'Assumptions'!$B$5+V114*'Assumptions'!$B$6+Y114*'Assumptions'!$B$7+Z114*'Assumptions'!$B$8-(Q114-1)*'Assumptions'!$B$12))</x:f>
        <x:v>46.17236842105263</x:v>
      </x:c>
      <x:c r="AI114" s="51" t="str">
        <x:v>Low</x:v>
      </x:c>
      <x:c r="AJ114" s="51" t="str">
        <x:v>Specialists lack agents that can operate domain tools, preserve provenance, and reproduce results.</x:v>
      </x:c>
      <x:c r="AK114" s="53" t="str">
        <x:f>IF(AND(AH114&gt;=75,V114&gt;=65,Z114&gt;=60),"Build now",IF(AND(AH114&gt;=60,V114&gt;=50),"Validate next",IF(AH114&gt;=50,"Partner or monitor","Deprioritize")))</x:f>
        <x:v>Deprioritize</x:v>
      </x:c>
      <x:c r="AL114" s="51" t="str">
        <x:v>Useful copilot for parts of the workflow; close supervision is required. Accountable professional signoff remains necessary.</x:v>
      </x:c>
      <x:c r="AM114" s="51" t="str">
        <x:v>/Users/jaibhagat/code/prismml/agents-last-exam/tasks/engineering/aerospace_low_thrust_trajectory/task_card.json</x:v>
      </x:c>
    </x:row>
    <x:row r="115">
      <x:c r="A115" s="40" t="n">
        <x:f>COUNTIF($AH$5:$AH$157,"&gt;"&amp;AH115)+COUNTIF($AH$5:AH115,AH115)</x:f>
        <x:v>111</x:v>
      </x:c>
      <x:c r="B115" s="51" t="str">
        <x:v>engineering/mpc_control_building_v1</x:v>
      </x:c>
      <x:c r="C115" s="51" t="str">
        <x:v>MPC Control In Building</x:v>
      </x:c>
      <x:c r="D115" s="51" t="str">
        <x:v>engineering</x:v>
      </x:c>
      <x:c r="E115" s="51" t="str">
        <x:v>Energy, Power &amp; Nuclear Engineering</x:v>
      </x:c>
      <x:c r="F115" s="51" t="str">
        <x:v>Scientific modeling and computation</x:v>
      </x:c>
      <x:c r="G115" s="51" t="str">
        <x:v>Specialist engineer</x:v>
      </x:c>
      <x:c r="H115" s="51" t="str">
        <x:v>Professional and related</x:v>
      </x:c>
      <x:c r="I115" s="52" t="n">
        <x:v>1.2</x:v>
      </x:c>
      <x:c r="J115" s="51" t="str">
        <x:v>Structured data artifact</x:v>
      </x:c>
      <x:c r="K115" s="43" t="n">
        <x:v>44</x:v>
      </x:c>
      <x:c r="L115" s="43" t="n">
        <x:v>80</x:v>
      </x:c>
      <x:c r="M115" s="43" t="n">
        <x:v>144</x:v>
      </x:c>
      <x:c r="N115" s="43" t="n">
        <x:v>6</x:v>
      </x:c>
      <x:c r="O115" s="44" t="n">
        <x:f>INDEX('Assumptions'!$B$24:$B$29,MATCH(H115,'Assumptions'!$A$24:$A$29,0))*I115</x:f>
        <x:v>87.588</x:v>
      </x:c>
      <x:c r="P115" s="41" t="str">
        <x:v>Critical</x:v>
      </x:c>
      <x:c r="Q115" s="45" t="n">
        <x:f>INDEX('Assumptions'!$B$18:$B$21,MATCH(P115,'Assumptions'!$A$18:$A$21,0))</x:f>
        <x:v>2.2</x:v>
      </x:c>
      <x:c r="R115" s="46" t="n">
        <x:v>0.4</x:v>
      </x:c>
      <x:c r="S115" s="47" t="n">
        <x:f>L115*R115</x:f>
        <x:v>32</x:v>
      </x:c>
      <x:c r="T115" s="48" t="n">
        <x:v>100</x:v>
      </x:c>
      <x:c r="U115" s="41" t="n">
        <x:v>2</x:v>
      </x:c>
      <x:c r="V115" s="41" t="n">
        <x:v>47</x:v>
      </x:c>
      <x:c r="W115" s="49" t="n">
        <x:f>V115/100*'Assumptions'!$B$9</x:f>
        <x:v>0.16449999999999998</x:v>
      </x:c>
      <x:c r="X115" s="49" t="n">
        <x:f>MIN('Assumptions'!$B$11,V115/100*'Assumptions'!$B$10)</x:f>
        <x:v>0.3666</x:v>
      </x:c>
      <x:c r="Y115" s="41" t="n">
        <x:v>76</x:v>
      </x:c>
      <x:c r="Z115" s="41" t="n">
        <x:v>38</x:v>
      </x:c>
      <x:c r="AA115" s="50" t="n">
        <x:f>K115*O115*Q115</x:f>
        <x:v>8478.5184</x:v>
      </x:c>
      <x:c r="AB115" s="50" t="n">
        <x:f>L115*O115*Q115</x:f>
        <x:v>15415.488</x:v>
      </x:c>
      <x:c r="AC115" s="50" t="n">
        <x:f>M115*O115*Q115</x:f>
        <x:v>27747.878399999998</x:v>
      </x:c>
      <x:c r="AD115" s="50" t="n">
        <x:f>AB115*N115</x:f>
        <x:v>92492.928</x:v>
      </x:c>
      <x:c r="AE115" s="50" t="n">
        <x:f>MAX(0,N115*(AB115*W115-S115*O115-T115))</x:f>
        <x:v>0</x:v>
      </x:c>
      <x:c r="AF115" s="50" t="n">
        <x:f>MAX(0,N115*(AB115*X115-S115*O115-T115))</x:f>
        <x:v>16491.0114048</x:v>
      </x:c>
      <x:c r="AG115" s="47" t="n">
        <x:f>(RANK.EQ(AD115,$AD$5:$AD$157,1)-1)/(COUNT($AD$5:$AD$157)-1)*100</x:f>
        <x:v>59.210526315789465</x:v>
      </x:c>
      <x:c r="AH115" s="47" t="n">
        <x:f>MAX(0,MIN(100,AG115*'Assumptions'!$B$5+V115*'Assumptions'!$B$6+Y115*'Assumptions'!$B$7+Z115*'Assumptions'!$B$8-(Q115-1)*'Assumptions'!$B$12))</x:f>
        <x:v>45.902631578947364</x:v>
      </x:c>
      <x:c r="AI115" s="51" t="str">
        <x:v>Low</x:v>
      </x:c>
      <x:c r="AJ115" s="51" t="str">
        <x:v>Specialists lack agents that can operate domain tools, preserve provenance, and reproduce results.</x:v>
      </x:c>
      <x:c r="AK115" s="53" t="str">
        <x:f>IF(AND(AH115&gt;=75,V115&gt;=65,Z115&gt;=60),"Build now",IF(AND(AH115&gt;=60,V115&gt;=50),"Validate next",IF(AH115&gt;=50,"Partner or monitor","Deprioritize")))</x:f>
        <x:v>Deprioritize</x:v>
      </x:c>
      <x:c r="AL115" s="51" t="str">
        <x:v>Useful copilot for parts of the workflow; close supervision is required. Accountable professional signoff remains necessary.</x:v>
      </x:c>
      <x:c r="AM115" s="51" t="str">
        <x:v>/Users/jaibhagat/code/prismml/agents-last-exam/tasks/engineering/mpc_control_building_v1/task_card.json</x:v>
      </x:c>
    </x:row>
    <x:row r="116">
      <x:c r="A116" s="40" t="n">
        <x:f>COUNTIF($AH$5:$AH$157,"&gt;"&amp;AH116)+COUNTIF($AH$5:AH116,AH116)</x:f>
        <x:v>117</x:v>
      </x:c>
      <x:c r="B116" s="51" t="str">
        <x:v>physical_sciences/silicon_bse_absorption</x:v>
      </x:c>
      <x:c r="C116" s="51" t="str">
        <x:v>Silicon Bse Absorption</x:v>
      </x:c>
      <x:c r="D116" s="51" t="str">
        <x:v>physical_sciences</x:v>
      </x:c>
      <x:c r="E116" s="51" t="str">
        <x:v>Chemistry &amp; Materials Computation</x:v>
      </x:c>
      <x:c r="F116" s="51" t="str">
        <x:v>Scientific modeling and computation</x:v>
      </x:c>
      <x:c r="G116" s="51" t="str">
        <x:v>Computational scientist</x:v>
      </x:c>
      <x:c r="H116" s="51" t="str">
        <x:v>Professional and related</x:v>
      </x:c>
      <x:c r="I116" s="52" t="n">
        <x:v>1.25</x:v>
      </x:c>
      <x:c r="J116" s="51" t="str">
        <x:v>Scientific result bundle</x:v>
      </x:c>
      <x:c r="K116" s="43" t="n">
        <x:v>44</x:v>
      </x:c>
      <x:c r="L116" s="43" t="n">
        <x:v>80</x:v>
      </x:c>
      <x:c r="M116" s="43" t="n">
        <x:v>144</x:v>
      </x:c>
      <x:c r="N116" s="43" t="n">
        <x:v>6</x:v>
      </x:c>
      <x:c r="O116" s="44" t="n">
        <x:f>INDEX('Assumptions'!$B$24:$B$29,MATCH(H116,'Assumptions'!$A$24:$A$29,0))*I116</x:f>
        <x:v>91.2375</x:v>
      </x:c>
      <x:c r="P116" s="41" t="str">
        <x:v>Medium</x:v>
      </x:c>
      <x:c r="Q116" s="45" t="n">
        <x:f>INDEX('Assumptions'!$B$18:$B$21,MATCH(P116,'Assumptions'!$A$18:$A$21,0))</x:f>
        <x:v>1.25</x:v>
      </x:c>
      <x:c r="R116" s="46" t="n">
        <x:v>0.18</x:v>
      </x:c>
      <x:c r="S116" s="47" t="n">
        <x:f>L116*R116</x:f>
        <x:v>14.399999999999999</x:v>
      </x:c>
      <x:c r="T116" s="48" t="n">
        <x:v>100</x:v>
      </x:c>
      <x:c r="U116" s="41" t="n">
        <x:v>2</x:v>
      </x:c>
      <x:c r="V116" s="41" t="n">
        <x:v>40</x:v>
      </x:c>
      <x:c r="W116" s="49" t="n">
        <x:f>V116/100*'Assumptions'!$B$9</x:f>
        <x:v>0.13999999999999999</x:v>
      </x:c>
      <x:c r="X116" s="49" t="n">
        <x:f>MIN('Assumptions'!$B$11,V116/100*'Assumptions'!$B$10)</x:f>
        <x:v>0.31200000000000006</x:v>
      </x:c>
      <x:c r="Y116" s="41" t="n">
        <x:v>72</x:v>
      </x:c>
      <x:c r="Z116" s="41" t="n">
        <x:v>49</x:v>
      </x:c>
      <x:c r="AA116" s="50" t="n">
        <x:f>K116*O116*Q116</x:f>
        <x:v>5018.0625</x:v>
      </x:c>
      <x:c r="AB116" s="50" t="n">
        <x:f>L116*O116*Q116</x:f>
        <x:v>9123.75</x:v>
      </x:c>
      <x:c r="AC116" s="50" t="n">
        <x:f>M116*O116*Q116</x:f>
        <x:v>16422.75</x:v>
      </x:c>
      <x:c r="AD116" s="50" t="n">
        <x:f>AB116*N116</x:f>
        <x:v>54742.5</x:v>
      </x:c>
      <x:c r="AE116" s="50" t="n">
        <x:f>MAX(0,N116*(AB116*W116-S116*O116-T116))</x:f>
        <x:v>0</x:v>
      </x:c>
      <x:c r="AF116" s="50" t="n">
        <x:f>MAX(0,N116*(AB116*X116-S116*O116-T116))</x:f>
        <x:v>8596.740000000003</x:v>
      </x:c>
      <x:c r="AG116" s="47" t="n">
        <x:f>(RANK.EQ(AD116,$AD$5:$AD$157,1)-1)/(COUNT($AD$5:$AD$157)-1)*100</x:f>
        <x:v>20.394736842105264</x:v>
      </x:c>
      <x:c r="AH116" s="47" t="n">
        <x:f>MAX(0,MIN(100,AG116*'Assumptions'!$B$5+V116*'Assumptions'!$B$6+Y116*'Assumptions'!$B$7+Z116*'Assumptions'!$B$8-(Q116-1)*'Assumptions'!$B$12))</x:f>
        <x:v>42.89868421052631</x:v>
      </x:c>
      <x:c r="AI116" s="51" t="str">
        <x:v>Low</x:v>
      </x:c>
      <x:c r="AJ116" s="51" t="str">
        <x:v>Specialists lack agents that can operate domain tools, preserve provenance, and reproduce results.</x:v>
      </x:c>
      <x:c r="AK116" s="53" t="str">
        <x:f>IF(AND(AH116&gt;=75,V116&gt;=65,Z116&gt;=60),"Build now",IF(AND(AH116&gt;=60,V116&gt;=50),"Validate next",IF(AH116&gt;=50,"Partner or monitor","Deprioritize")))</x:f>
        <x:v>Deprioritize</x:v>
      </x:c>
      <x:c r="AL116" s="51" t="str">
        <x:v>Useful copilot for parts of the workflow; close supervision is required.</x:v>
      </x:c>
      <x:c r="AM116" s="51" t="str">
        <x:v>/Users/jaibhagat/code/prismml/agents-last-exam/tasks/physical_sciences/silicon_bse_absorption/task_card.json</x:v>
      </x:c>
    </x:row>
    <x:row r="117">
      <x:c r="A117" s="40" t="n">
        <x:f>COUNTIF($AH$5:$AH$157,"&gt;"&amp;AH117)+COUNTIF($AH$5:AH117,AH117)</x:f>
        <x:v>118</x:v>
      </x:c>
      <x:c r="B117" s="51" t="str">
        <x:v>physical_sciences/mose2_bse_absorption_soc</x:v>
      </x:c>
      <x:c r="C117" s="51" t="str">
        <x:v>Mose2 Bse Absorption Soc</x:v>
      </x:c>
      <x:c r="D117" s="51" t="str">
        <x:v>physical_sciences</x:v>
      </x:c>
      <x:c r="E117" s="51" t="str">
        <x:v>Chemistry &amp; Materials Computation</x:v>
      </x:c>
      <x:c r="F117" s="51" t="str">
        <x:v>Scientific modeling and computation</x:v>
      </x:c>
      <x:c r="G117" s="51" t="str">
        <x:v>Computational scientist</x:v>
      </x:c>
      <x:c r="H117" s="51" t="str">
        <x:v>Professional and related</x:v>
      </x:c>
      <x:c r="I117" s="52" t="n">
        <x:v>1.25</x:v>
      </x:c>
      <x:c r="J117" s="51" t="str">
        <x:v>Scientific result bundle</x:v>
      </x:c>
      <x:c r="K117" s="43" t="n">
        <x:v>44</x:v>
      </x:c>
      <x:c r="L117" s="43" t="n">
        <x:v>80</x:v>
      </x:c>
      <x:c r="M117" s="43" t="n">
        <x:v>144</x:v>
      </x:c>
      <x:c r="N117" s="43" t="n">
        <x:v>6</x:v>
      </x:c>
      <x:c r="O117" s="44" t="n">
        <x:f>INDEX('Assumptions'!$B$24:$B$29,MATCH(H117,'Assumptions'!$A$24:$A$29,0))*I117</x:f>
        <x:v>91.2375</x:v>
      </x:c>
      <x:c r="P117" s="41" t="str">
        <x:v>Medium</x:v>
      </x:c>
      <x:c r="Q117" s="45" t="n">
        <x:f>INDEX('Assumptions'!$B$18:$B$21,MATCH(P117,'Assumptions'!$A$18:$A$21,0))</x:f>
        <x:v>1.25</x:v>
      </x:c>
      <x:c r="R117" s="46" t="n">
        <x:v>0.18</x:v>
      </x:c>
      <x:c r="S117" s="47" t="n">
        <x:f>L117*R117</x:f>
        <x:v>14.399999999999999</x:v>
      </x:c>
      <x:c r="T117" s="48" t="n">
        <x:v>100</x:v>
      </x:c>
      <x:c r="U117" s="41" t="n">
        <x:v>2</x:v>
      </x:c>
      <x:c r="V117" s="41" t="n">
        <x:v>40</x:v>
      </x:c>
      <x:c r="W117" s="49" t="n">
        <x:f>V117/100*'Assumptions'!$B$9</x:f>
        <x:v>0.13999999999999999</x:v>
      </x:c>
      <x:c r="X117" s="49" t="n">
        <x:f>MIN('Assumptions'!$B$11,V117/100*'Assumptions'!$B$10)</x:f>
        <x:v>0.31200000000000006</x:v>
      </x:c>
      <x:c r="Y117" s="41" t="n">
        <x:v>72</x:v>
      </x:c>
      <x:c r="Z117" s="41" t="n">
        <x:v>49</x:v>
      </x:c>
      <x:c r="AA117" s="50" t="n">
        <x:f>K117*O117*Q117</x:f>
        <x:v>5018.0625</x:v>
      </x:c>
      <x:c r="AB117" s="50" t="n">
        <x:f>L117*O117*Q117</x:f>
        <x:v>9123.75</x:v>
      </x:c>
      <x:c r="AC117" s="50" t="n">
        <x:f>M117*O117*Q117</x:f>
        <x:v>16422.75</x:v>
      </x:c>
      <x:c r="AD117" s="50" t="n">
        <x:f>AB117*N117</x:f>
        <x:v>54742.5</x:v>
      </x:c>
      <x:c r="AE117" s="50" t="n">
        <x:f>MAX(0,N117*(AB117*W117-S117*O117-T117))</x:f>
        <x:v>0</x:v>
      </x:c>
      <x:c r="AF117" s="50" t="n">
        <x:f>MAX(0,N117*(AB117*X117-S117*O117-T117))</x:f>
        <x:v>8596.740000000003</x:v>
      </x:c>
      <x:c r="AG117" s="47" t="n">
        <x:f>(RANK.EQ(AD117,$AD$5:$AD$157,1)-1)/(COUNT($AD$5:$AD$157)-1)*100</x:f>
        <x:v>20.394736842105264</x:v>
      </x:c>
      <x:c r="AH117" s="47" t="n">
        <x:f>MAX(0,MIN(100,AG117*'Assumptions'!$B$5+V117*'Assumptions'!$B$6+Y117*'Assumptions'!$B$7+Z117*'Assumptions'!$B$8-(Q117-1)*'Assumptions'!$B$12))</x:f>
        <x:v>42.89868421052631</x:v>
      </x:c>
      <x:c r="AI117" s="51" t="str">
        <x:v>Low</x:v>
      </x:c>
      <x:c r="AJ117" s="51" t="str">
        <x:v>Specialists lack agents that can operate domain tools, preserve provenance, and reproduce results.</x:v>
      </x:c>
      <x:c r="AK117" s="53" t="str">
        <x:f>IF(AND(AH117&gt;=75,V117&gt;=65,Z117&gt;=60),"Build now",IF(AND(AH117&gt;=60,V117&gt;=50),"Validate next",IF(AH117&gt;=50,"Partner or monitor","Deprioritize")))</x:f>
        <x:v>Deprioritize</x:v>
      </x:c>
      <x:c r="AL117" s="51" t="str">
        <x:v>Useful copilot for parts of the workflow; close supervision is required.</x:v>
      </x:c>
      <x:c r="AM117" s="51" t="str">
        <x:v>/Users/jaibhagat/code/prismml/agents-last-exam/tasks/physical_sciences/mose2_bse_absorption_soc/task_card.json</x:v>
      </x:c>
    </x:row>
    <x:row r="118">
      <x:c r="A118" s="40" t="n">
        <x:f>COUNTIF($AH$5:$AH$157,"&gt;"&amp;AH118)+COUNTIF($AH$5:AH118,AH118)</x:f>
        <x:v>112</x:v>
      </x:c>
      <x:c r="B118" s="51" t="str">
        <x:v>health_medicine/replicate_paper_1</x:v>
      </x:c>
      <x:c r="C118" s="51" t="str">
        <x:v>Continuous Treatment Shift Simulation Replication</x:v>
      </x:c>
      <x:c r="D118" s="51" t="str">
        <x:v>health_medicine</x:v>
      </x:c>
      <x:c r="E118" s="51" t="str">
        <x:v>Public Health &amp; Epidemiology</x:v>
      </x:c>
      <x:c r="F118" s="51" t="str">
        <x:v>Scientific modeling and computation</x:v>
      </x:c>
      <x:c r="G118" s="51" t="str">
        <x:v>Clinical data scientist or medical specialist</x:v>
      </x:c>
      <x:c r="H118" s="51" t="str">
        <x:v>Professional and related</x:v>
      </x:c>
      <x:c r="I118" s="52" t="n">
        <x:v>1.3</x:v>
      </x:c>
      <x:c r="J118" s="51" t="str">
        <x:v>Structured data artifact</x:v>
      </x:c>
      <x:c r="K118" s="43" t="n">
        <x:v>44</x:v>
      </x:c>
      <x:c r="L118" s="43" t="n">
        <x:v>80</x:v>
      </x:c>
      <x:c r="M118" s="43" t="n">
        <x:v>144</x:v>
      </x:c>
      <x:c r="N118" s="43" t="n">
        <x:v>6</x:v>
      </x:c>
      <x:c r="O118" s="44" t="n">
        <x:f>INDEX('Assumptions'!$B$24:$B$29,MATCH(H118,'Assumptions'!$A$24:$A$29,0))*I118</x:f>
        <x:v>94.887</x:v>
      </x:c>
      <x:c r="P118" s="41" t="str">
        <x:v>Critical</x:v>
      </x:c>
      <x:c r="Q118" s="45" t="n">
        <x:f>INDEX('Assumptions'!$B$18:$B$21,MATCH(P118,'Assumptions'!$A$18:$A$21,0))</x:f>
        <x:v>2.2</x:v>
      </x:c>
      <x:c r="R118" s="46" t="n">
        <x:v>0.4</x:v>
      </x:c>
      <x:c r="S118" s="47" t="n">
        <x:f>L118*R118</x:f>
        <x:v>32</x:v>
      </x:c>
      <x:c r="T118" s="48" t="n">
        <x:v>100</x:v>
      </x:c>
      <x:c r="U118" s="41" t="n">
        <x:v>2</x:v>
      </x:c>
      <x:c r="V118" s="41" t="n">
        <x:v>40</x:v>
      </x:c>
      <x:c r="W118" s="49" t="n">
        <x:f>V118/100*'Assumptions'!$B$9</x:f>
        <x:v>0.13999999999999999</x:v>
      </x:c>
      <x:c r="X118" s="49" t="n">
        <x:f>MIN('Assumptions'!$B$11,V118/100*'Assumptions'!$B$10)</x:f>
        <x:v>0.31200000000000006</x:v>
      </x:c>
      <x:c r="Y118" s="41" t="n">
        <x:v>76</x:v>
      </x:c>
      <x:c r="Z118" s="41" t="n">
        <x:v>38</x:v>
      </x:c>
      <x:c r="AA118" s="50" t="n">
        <x:f>K118*O118*Q118</x:f>
        <x:v>9185.0616</x:v>
      </x:c>
      <x:c r="AB118" s="50" t="n">
        <x:f>L118*O118*Q118</x:f>
        <x:v>16700.112</x:v>
      </x:c>
      <x:c r="AC118" s="50" t="n">
        <x:f>M118*O118*Q118</x:f>
        <x:v>30060.2016</x:v>
      </x:c>
      <x:c r="AD118" s="50" t="n">
        <x:f>AB118*N118</x:f>
        <x:v>100200.672</x:v>
      </x:c>
      <x:c r="AE118" s="50" t="n">
        <x:f>MAX(0,N118*(AB118*W118-S118*O118-T118))</x:f>
        <x:v>0</x:v>
      </x:c>
      <x:c r="AF118" s="50" t="n">
        <x:f>MAX(0,N118*(AB118*X118-S118*O118-T118))</x:f>
        <x:v>12444.305664000009</x:v>
      </x:c>
      <x:c r="AG118" s="47" t="n">
        <x:f>(RANK.EQ(AD118,$AD$5:$AD$157,1)-1)/(COUNT($AD$5:$AD$157)-1)*100</x:f>
        <x:v>61.8421052631579</x:v>
      </x:c>
      <x:c r="AH118" s="47" t="n">
        <x:f>MAX(0,MIN(100,AG118*'Assumptions'!$B$5+V118*'Assumptions'!$B$6+Y118*'Assumptions'!$B$7+Z118*'Assumptions'!$B$8-(Q118-1)*'Assumptions'!$B$12))</x:f>
        <x:v>44.46052631578947</x:v>
      </x:c>
      <x:c r="AI118" s="51" t="str">
        <x:v>Low</x:v>
      </x:c>
      <x:c r="AJ118" s="51" t="str">
        <x:v>Specialists lack agents that can operate domain tools, preserve provenance, and reproduce results.</x:v>
      </x:c>
      <x:c r="AK118" s="53" t="str">
        <x:f>IF(AND(AH118&gt;=75,V118&gt;=65,Z118&gt;=60),"Build now",IF(AND(AH118&gt;=60,V118&gt;=50),"Validate next",IF(AH118&gt;=50,"Partner or monitor","Deprioritize")))</x:f>
        <x:v>Deprioritize</x:v>
      </x:c>
      <x:c r="AL118" s="51" t="str">
        <x:v>Useful copilot for parts of the workflow; close supervision is required. Accountable professional signoff remains necessary.</x:v>
      </x:c>
      <x:c r="AM118" s="51" t="str">
        <x:v>/Users/jaibhagat/code/prismml/agents-last-exam/tasks/health_medicine/replicate_paper_1/task_card.json</x:v>
      </x:c>
    </x:row>
    <x:row r="119">
      <x:c r="A119" s="40" t="n">
        <x:f>COUNTIF($AH$5:$AH$157,"&gt;"&amp;AH119)+COUNTIF($AH$5:AH119,AH119)</x:f>
        <x:v>119</x:v>
      </x:c>
      <x:c r="B119" s="51" t="str">
        <x:v>physical_sciences/molecular_structure_plausibility</x:v>
      </x:c>
      <x:c r="C119" s="51" t="str">
        <x:v>Molecular Structure Plausibility</x:v>
      </x:c>
      <x:c r="D119" s="51" t="str">
        <x:v>physical_sciences</x:v>
      </x:c>
      <x:c r="E119" s="51" t="str">
        <x:v>Chemistry &amp; Materials Computation</x:v>
      </x:c>
      <x:c r="F119" s="51" t="str">
        <x:v>Scientific modeling and computation</x:v>
      </x:c>
      <x:c r="G119" s="51" t="str">
        <x:v>Computational scientist</x:v>
      </x:c>
      <x:c r="H119" s="51" t="str">
        <x:v>Professional and related</x:v>
      </x:c>
      <x:c r="I119" s="52" t="n">
        <x:v>1.25</x:v>
      </x:c>
      <x:c r="J119" s="51" t="str">
        <x:v>Scientific result bundle</x:v>
      </x:c>
      <x:c r="K119" s="43" t="n">
        <x:v>44</x:v>
      </x:c>
      <x:c r="L119" s="43" t="n">
        <x:v>80</x:v>
      </x:c>
      <x:c r="M119" s="43" t="n">
        <x:v>144</x:v>
      </x:c>
      <x:c r="N119" s="43" t="n">
        <x:v>6</x:v>
      </x:c>
      <x:c r="O119" s="44" t="n">
        <x:f>INDEX('Assumptions'!$B$24:$B$29,MATCH(H119,'Assumptions'!$A$24:$A$29,0))*I119</x:f>
        <x:v>91.2375</x:v>
      </x:c>
      <x:c r="P119" s="41" t="str">
        <x:v>Medium</x:v>
      </x:c>
      <x:c r="Q119" s="45" t="n">
        <x:f>INDEX('Assumptions'!$B$18:$B$21,MATCH(P119,'Assumptions'!$A$18:$A$21,0))</x:f>
        <x:v>1.25</x:v>
      </x:c>
      <x:c r="R119" s="46" t="n">
        <x:v>0.18</x:v>
      </x:c>
      <x:c r="S119" s="47" t="n">
        <x:f>L119*R119</x:f>
        <x:v>14.399999999999999</x:v>
      </x:c>
      <x:c r="T119" s="48" t="n">
        <x:v>100</x:v>
      </x:c>
      <x:c r="U119" s="41" t="n">
        <x:v>2</x:v>
      </x:c>
      <x:c r="V119" s="41" t="n">
        <x:v>40</x:v>
      </x:c>
      <x:c r="W119" s="49" t="n">
        <x:f>V119/100*'Assumptions'!$B$9</x:f>
        <x:v>0.13999999999999999</x:v>
      </x:c>
      <x:c r="X119" s="49" t="n">
        <x:f>MIN('Assumptions'!$B$11,V119/100*'Assumptions'!$B$10)</x:f>
        <x:v>0.31200000000000006</x:v>
      </x:c>
      <x:c r="Y119" s="41" t="n">
        <x:v>72</x:v>
      </x:c>
      <x:c r="Z119" s="41" t="n">
        <x:v>49</x:v>
      </x:c>
      <x:c r="AA119" s="50" t="n">
        <x:f>K119*O119*Q119</x:f>
        <x:v>5018.0625</x:v>
      </x:c>
      <x:c r="AB119" s="50" t="n">
        <x:f>L119*O119*Q119</x:f>
        <x:v>9123.75</x:v>
      </x:c>
      <x:c r="AC119" s="50" t="n">
        <x:f>M119*O119*Q119</x:f>
        <x:v>16422.75</x:v>
      </x:c>
      <x:c r="AD119" s="50" t="n">
        <x:f>AB119*N119</x:f>
        <x:v>54742.5</x:v>
      </x:c>
      <x:c r="AE119" s="50" t="n">
        <x:f>MAX(0,N119*(AB119*W119-S119*O119-T119))</x:f>
        <x:v>0</x:v>
      </x:c>
      <x:c r="AF119" s="50" t="n">
        <x:f>MAX(0,N119*(AB119*X119-S119*O119-T119))</x:f>
        <x:v>8596.740000000003</x:v>
      </x:c>
      <x:c r="AG119" s="47" t="n">
        <x:f>(RANK.EQ(AD119,$AD$5:$AD$157,1)-1)/(COUNT($AD$5:$AD$157)-1)*100</x:f>
        <x:v>20.394736842105264</x:v>
      </x:c>
      <x:c r="AH119" s="47" t="n">
        <x:f>MAX(0,MIN(100,AG119*'Assumptions'!$B$5+V119*'Assumptions'!$B$6+Y119*'Assumptions'!$B$7+Z119*'Assumptions'!$B$8-(Q119-1)*'Assumptions'!$B$12))</x:f>
        <x:v>42.89868421052631</x:v>
      </x:c>
      <x:c r="AI119" s="51" t="str">
        <x:v>Low</x:v>
      </x:c>
      <x:c r="AJ119" s="51" t="str">
        <x:v>Specialists lack agents that can operate domain tools, preserve provenance, and reproduce results.</x:v>
      </x:c>
      <x:c r="AK119" s="53" t="str">
        <x:f>IF(AND(AH119&gt;=75,V119&gt;=65,Z119&gt;=60),"Build now",IF(AND(AH119&gt;=60,V119&gt;=50),"Validate next",IF(AH119&gt;=50,"Partner or monitor","Deprioritize")))</x:f>
        <x:v>Deprioritize</x:v>
      </x:c>
      <x:c r="AL119" s="51" t="str">
        <x:v>Useful copilot for parts of the workflow; close supervision is required.</x:v>
      </x:c>
      <x:c r="AM119" s="51" t="str">
        <x:v>/Users/jaibhagat/code/prismml/agents-last-exam/tasks/physical_sciences/molecular_structure_plausibility/task_card.json</x:v>
      </x:c>
    </x:row>
    <x:row r="120">
      <x:c r="A120" s="40" t="n">
        <x:f>COUNTIF($AH$5:$AH$157,"&gt;"&amp;AH120)+COUNTIF($AH$5:AH120,AH120)</x:f>
        <x:v>113</x:v>
      </x:c>
      <x:c r="B120" s="51" t="str">
        <x:v>health_medicine/causal_ihdp_ite_estimation_6a_v1</x:v>
      </x:c>
      <x:c r="C120" s="51" t="str">
        <x:v>IHDP ITE Estimation</x:v>
      </x:c>
      <x:c r="D120" s="51" t="str">
        <x:v>health_medicine</x:v>
      </x:c>
      <x:c r="E120" s="51" t="str">
        <x:v>Economics &amp; Quantitative Social Research</x:v>
      </x:c>
      <x:c r="F120" s="51" t="str">
        <x:v>Scientific modeling and computation</x:v>
      </x:c>
      <x:c r="G120" s="51" t="str">
        <x:v>Clinical data scientist or medical specialist</x:v>
      </x:c>
      <x:c r="H120" s="51" t="str">
        <x:v>Professional and related</x:v>
      </x:c>
      <x:c r="I120" s="52" t="n">
        <x:v>1.3</x:v>
      </x:c>
      <x:c r="J120" s="51" t="str">
        <x:v>Structured data artifact</x:v>
      </x:c>
      <x:c r="K120" s="43" t="n">
        <x:v>44</x:v>
      </x:c>
      <x:c r="L120" s="43" t="n">
        <x:v>80</x:v>
      </x:c>
      <x:c r="M120" s="43" t="n">
        <x:v>144</x:v>
      </x:c>
      <x:c r="N120" s="43" t="n">
        <x:v>6</x:v>
      </x:c>
      <x:c r="O120" s="44" t="n">
        <x:f>INDEX('Assumptions'!$B$24:$B$29,MATCH(H120,'Assumptions'!$A$24:$A$29,0))*I120</x:f>
        <x:v>94.887</x:v>
      </x:c>
      <x:c r="P120" s="41" t="str">
        <x:v>Critical</x:v>
      </x:c>
      <x:c r="Q120" s="45" t="n">
        <x:f>INDEX('Assumptions'!$B$18:$B$21,MATCH(P120,'Assumptions'!$A$18:$A$21,0))</x:f>
        <x:v>2.2</x:v>
      </x:c>
      <x:c r="R120" s="46" t="n">
        <x:v>0.4</x:v>
      </x:c>
      <x:c r="S120" s="47" t="n">
        <x:f>L120*R120</x:f>
        <x:v>32</x:v>
      </x:c>
      <x:c r="T120" s="48" t="n">
        <x:v>100</x:v>
      </x:c>
      <x:c r="U120" s="41" t="n">
        <x:v>2</x:v>
      </x:c>
      <x:c r="V120" s="41" t="n">
        <x:v>40</x:v>
      </x:c>
      <x:c r="W120" s="49" t="n">
        <x:f>V120/100*'Assumptions'!$B$9</x:f>
        <x:v>0.13999999999999999</x:v>
      </x:c>
      <x:c r="X120" s="49" t="n">
        <x:f>MIN('Assumptions'!$B$11,V120/100*'Assumptions'!$B$10)</x:f>
        <x:v>0.31200000000000006</x:v>
      </x:c>
      <x:c r="Y120" s="41" t="n">
        <x:v>76</x:v>
      </x:c>
      <x:c r="Z120" s="41" t="n">
        <x:v>38</x:v>
      </x:c>
      <x:c r="AA120" s="50" t="n">
        <x:f>K120*O120*Q120</x:f>
        <x:v>9185.0616</x:v>
      </x:c>
      <x:c r="AB120" s="50" t="n">
        <x:f>L120*O120*Q120</x:f>
        <x:v>16700.112</x:v>
      </x:c>
      <x:c r="AC120" s="50" t="n">
        <x:f>M120*O120*Q120</x:f>
        <x:v>30060.2016</x:v>
      </x:c>
      <x:c r="AD120" s="50" t="n">
        <x:f>AB120*N120</x:f>
        <x:v>100200.672</x:v>
      </x:c>
      <x:c r="AE120" s="50" t="n">
        <x:f>MAX(0,N120*(AB120*W120-S120*O120-T120))</x:f>
        <x:v>0</x:v>
      </x:c>
      <x:c r="AF120" s="50" t="n">
        <x:f>MAX(0,N120*(AB120*X120-S120*O120-T120))</x:f>
        <x:v>12444.305664000009</x:v>
      </x:c>
      <x:c r="AG120" s="47" t="n">
        <x:f>(RANK.EQ(AD120,$AD$5:$AD$157,1)-1)/(COUNT($AD$5:$AD$157)-1)*100</x:f>
        <x:v>61.8421052631579</x:v>
      </x:c>
      <x:c r="AH120" s="47" t="n">
        <x:f>MAX(0,MIN(100,AG120*'Assumptions'!$B$5+V120*'Assumptions'!$B$6+Y120*'Assumptions'!$B$7+Z120*'Assumptions'!$B$8-(Q120-1)*'Assumptions'!$B$12))</x:f>
        <x:v>44.46052631578947</x:v>
      </x:c>
      <x:c r="AI120" s="51" t="str">
        <x:v>Low</x:v>
      </x:c>
      <x:c r="AJ120" s="51" t="str">
        <x:v>Specialists lack agents that can operate domain tools, preserve provenance, and reproduce results.</x:v>
      </x:c>
      <x:c r="AK120" s="53" t="str">
        <x:f>IF(AND(AH120&gt;=75,V120&gt;=65,Z120&gt;=60),"Build now",IF(AND(AH120&gt;=60,V120&gt;=50),"Validate next",IF(AH120&gt;=50,"Partner or monitor","Deprioritize")))</x:f>
        <x:v>Deprioritize</x:v>
      </x:c>
      <x:c r="AL120" s="51" t="str">
        <x:v>Useful copilot for parts of the workflow; close supervision is required. Accountable professional signoff remains necessary.</x:v>
      </x:c>
      <x:c r="AM120" s="51" t="str">
        <x:v>/Users/jaibhagat/code/prismml/agents-last-exam/tasks/health_medicine/causal_ihdp_ite_estimation_6a_v1/task_card.json</x:v>
      </x:c>
    </x:row>
    <x:row r="121">
      <x:c r="A121" s="40" t="n">
        <x:f>COUNTIF($AH$5:$AH$157,"&gt;"&amp;AH121)+COUNTIF($AH$5:AH121,AH121)</x:f>
        <x:v>114</x:v>
      </x:c>
      <x:c r="B121" s="51" t="str">
        <x:v>life_sciences/zdock_hiv_dimer_interface_scoring_v1</x:v>
      </x:c>
      <x:c r="C121" s="51" t="str">
        <x:v>ZDOCK HIV Dimer Interface Scoring</x:v>
      </x:c>
      <x:c r="D121" s="51" t="str">
        <x:v>life_sciences</x:v>
      </x:c>
      <x:c r="E121" s="51" t="str">
        <x:v>Biomolecular Structure &amp; Design</x:v>
      </x:c>
      <x:c r="F121" s="51" t="str">
        <x:v>Scientific modeling and computation</x:v>
      </x:c>
      <x:c r="G121" s="51" t="str">
        <x:v>Bioinformatics or life-science researcher</x:v>
      </x:c>
      <x:c r="H121" s="51" t="str">
        <x:v>Professional and related</x:v>
      </x:c>
      <x:c r="I121" s="52" t="n">
        <x:v>1.25</x:v>
      </x:c>
      <x:c r="J121" s="51" t="str">
        <x:v>Structured data artifact</x:v>
      </x:c>
      <x:c r="K121" s="43" t="n">
        <x:v>33</x:v>
      </x:c>
      <x:c r="L121" s="43" t="n">
        <x:v>60</x:v>
      </x:c>
      <x:c r="M121" s="43" t="n">
        <x:v>108</x:v>
      </x:c>
      <x:c r="N121" s="43" t="n">
        <x:v>6</x:v>
      </x:c>
      <x:c r="O121" s="44" t="n">
        <x:f>INDEX('Assumptions'!$B$24:$B$29,MATCH(H121,'Assumptions'!$A$24:$A$29,0))*I121</x:f>
        <x:v>91.2375</x:v>
      </x:c>
      <x:c r="P121" s="41" t="str">
        <x:v>Medium</x:v>
      </x:c>
      <x:c r="Q121" s="45" t="n">
        <x:f>INDEX('Assumptions'!$B$18:$B$21,MATCH(P121,'Assumptions'!$A$18:$A$21,0))</x:f>
        <x:v>1.25</x:v>
      </x:c>
      <x:c r="R121" s="46" t="n">
        <x:v>0.18</x:v>
      </x:c>
      <x:c r="S121" s="47" t="n">
        <x:f>L121*R121</x:f>
        <x:v>10.799999999999999</x:v>
      </x:c>
      <x:c r="T121" s="48" t="n">
        <x:v>100</x:v>
      </x:c>
      <x:c r="U121" s="41" t="n">
        <x:v>3</x:v>
      </x:c>
      <x:c r="V121" s="41" t="n">
        <x:v>50</x:v>
      </x:c>
      <x:c r="W121" s="49" t="n">
        <x:f>V121/100*'Assumptions'!$B$9</x:f>
        <x:v>0.175</x:v>
      </x:c>
      <x:c r="X121" s="49" t="n">
        <x:f>MIN('Assumptions'!$B$11,V121/100*'Assumptions'!$B$10)</x:f>
        <x:v>0.39</x:v>
      </x:c>
      <x:c r="Y121" s="41" t="n">
        <x:v>76</x:v>
      </x:c>
      <x:c r="Z121" s="41" t="n">
        <x:v>53</x:v>
      </x:c>
      <x:c r="AA121" s="50" t="n">
        <x:f>K121*O121*Q121</x:f>
        <x:v>3763.546875</x:v>
      </x:c>
      <x:c r="AB121" s="50" t="n">
        <x:f>L121*O121*Q121</x:f>
        <x:v>6842.8125</x:v>
      </x:c>
      <x:c r="AC121" s="50" t="n">
        <x:f>M121*O121*Q121</x:f>
        <x:v>12317.0625</x:v>
      </x:c>
      <x:c r="AD121" s="50" t="n">
        <x:f>AB121*N121</x:f>
        <x:v>41056.875</x:v>
      </x:c>
      <x:c r="AE121" s="50" t="n">
        <x:f>MAX(0,N121*(AB121*W121-S121*O121-T121))</x:f>
        <x:v>672.7631250000006</x:v>
      </x:c>
      <x:c r="AF121" s="50" t="n">
        <x:f>MAX(0,N121*(AB121*X121-S121*O121-T121))</x:f>
        <x:v>9499.991250000003</x:v>
      </x:c>
      <x:c r="AG121" s="47" t="n">
        <x:f>(RANK.EQ(AD121,$AD$5:$AD$157,1)-1)/(COUNT($AD$5:$AD$157)-1)*100</x:f>
        <x:v>4.605263157894736</x:v>
      </x:c>
      <x:c r="AH121" s="47" t="n">
        <x:f>MAX(0,MIN(100,AG121*'Assumptions'!$B$5+V121*'Assumptions'!$B$6+Y121*'Assumptions'!$B$7+Z121*'Assumptions'!$B$8-(Q121-1)*'Assumptions'!$B$12))</x:f>
        <x:v>43.751315789473686</x:v>
      </x:c>
      <x:c r="AI121" s="51" t="str">
        <x:v>Low</x:v>
      </x:c>
      <x:c r="AJ121" s="51" t="str">
        <x:v>Specialists lack agents that can operate domain tools, preserve provenance, and reproduce results.</x:v>
      </x:c>
      <x:c r="AK121" s="53" t="str">
        <x:f>IF(AND(AH121&gt;=75,V121&gt;=65,Z121&gt;=60),"Build now",IF(AND(AH121&gt;=60,V121&gt;=50),"Validate next",IF(AH121&gt;=50,"Partner or monitor","Deprioritize")))</x:f>
        <x:v>Deprioritize</x:v>
      </x:c>
      <x:c r="AL121" s="51" t="str">
        <x:v>Bounded agents can complete standard cases with mandatory review.</x:v>
      </x:c>
      <x:c r="AM121" s="51" t="str">
        <x:v>/Users/jaibhagat/code/prismml/agents-last-exam/tasks/life_sciences/zdock_hiv_dimer_interface_scoring_v1/task_card.json</x:v>
      </x:c>
    </x:row>
    <x:row r="122">
      <x:c r="A122" s="40" t="n">
        <x:f>COUNTIF($AH$5:$AH$157,"&gt;"&amp;AH122)+COUNTIF($AH$5:AH122,AH122)</x:f>
        <x:v>120</x:v>
      </x:c>
      <x:c r="B122" s="51" t="str">
        <x:v>physical_sciences/computational_materials_science</x:v>
      </x:c>
      <x:c r="C122" s="51" t="str">
        <x:v>Silicon GW Band Gap</x:v>
      </x:c>
      <x:c r="D122" s="51" t="str">
        <x:v>physical_sciences</x:v>
      </x:c>
      <x:c r="E122" s="51" t="str">
        <x:v>Chemistry &amp; Materials Computation</x:v>
      </x:c>
      <x:c r="F122" s="51" t="str">
        <x:v>Scientific modeling and computation</x:v>
      </x:c>
      <x:c r="G122" s="51" t="str">
        <x:v>Computational scientist</x:v>
      </x:c>
      <x:c r="H122" s="51" t="str">
        <x:v>Professional and related</x:v>
      </x:c>
      <x:c r="I122" s="52" t="n">
        <x:v>1.25</x:v>
      </x:c>
      <x:c r="J122" s="51" t="str">
        <x:v>Report or analytical workbook</x:v>
      </x:c>
      <x:c r="K122" s="43" t="n">
        <x:v>44</x:v>
      </x:c>
      <x:c r="L122" s="43" t="n">
        <x:v>80</x:v>
      </x:c>
      <x:c r="M122" s="43" t="n">
        <x:v>144</x:v>
      </x:c>
      <x:c r="N122" s="43" t="n">
        <x:v>6</x:v>
      </x:c>
      <x:c r="O122" s="44" t="n">
        <x:f>INDEX('Assumptions'!$B$24:$B$29,MATCH(H122,'Assumptions'!$A$24:$A$29,0))*I122</x:f>
        <x:v>91.2375</x:v>
      </x:c>
      <x:c r="P122" s="41" t="str">
        <x:v>Medium</x:v>
      </x:c>
      <x:c r="Q122" s="45" t="n">
        <x:f>INDEX('Assumptions'!$B$18:$B$21,MATCH(P122,'Assumptions'!$A$18:$A$21,0))</x:f>
        <x:v>1.25</x:v>
      </x:c>
      <x:c r="R122" s="46" t="n">
        <x:v>0.18</x:v>
      </x:c>
      <x:c r="S122" s="47" t="n">
        <x:f>L122*R122</x:f>
        <x:v>14.399999999999999</x:v>
      </x:c>
      <x:c r="T122" s="48" t="n">
        <x:v>100</x:v>
      </x:c>
      <x:c r="U122" s="41" t="n">
        <x:v>2</x:v>
      </x:c>
      <x:c r="V122" s="41" t="n">
        <x:v>40</x:v>
      </x:c>
      <x:c r="W122" s="49" t="n">
        <x:f>V122/100*'Assumptions'!$B$9</x:f>
        <x:v>0.13999999999999999</x:v>
      </x:c>
      <x:c r="X122" s="49" t="n">
        <x:f>MIN('Assumptions'!$B$11,V122/100*'Assumptions'!$B$10)</x:f>
        <x:v>0.31200000000000006</x:v>
      </x:c>
      <x:c r="Y122" s="41" t="n">
        <x:v>72</x:v>
      </x:c>
      <x:c r="Z122" s="41" t="n">
        <x:v>49</x:v>
      </x:c>
      <x:c r="AA122" s="50" t="n">
        <x:f>K122*O122*Q122</x:f>
        <x:v>5018.0625</x:v>
      </x:c>
      <x:c r="AB122" s="50" t="n">
        <x:f>L122*O122*Q122</x:f>
        <x:v>9123.75</x:v>
      </x:c>
      <x:c r="AC122" s="50" t="n">
        <x:f>M122*O122*Q122</x:f>
        <x:v>16422.75</x:v>
      </x:c>
      <x:c r="AD122" s="50" t="n">
        <x:f>AB122*N122</x:f>
        <x:v>54742.5</x:v>
      </x:c>
      <x:c r="AE122" s="50" t="n">
        <x:f>MAX(0,N122*(AB122*W122-S122*O122-T122))</x:f>
        <x:v>0</x:v>
      </x:c>
      <x:c r="AF122" s="50" t="n">
        <x:f>MAX(0,N122*(AB122*X122-S122*O122-T122))</x:f>
        <x:v>8596.740000000003</x:v>
      </x:c>
      <x:c r="AG122" s="47" t="n">
        <x:f>(RANK.EQ(AD122,$AD$5:$AD$157,1)-1)/(COUNT($AD$5:$AD$157)-1)*100</x:f>
        <x:v>20.394736842105264</x:v>
      </x:c>
      <x:c r="AH122" s="47" t="n">
        <x:f>MAX(0,MIN(100,AG122*'Assumptions'!$B$5+V122*'Assumptions'!$B$6+Y122*'Assumptions'!$B$7+Z122*'Assumptions'!$B$8-(Q122-1)*'Assumptions'!$B$12))</x:f>
        <x:v>42.89868421052631</x:v>
      </x:c>
      <x:c r="AI122" s="51" t="str">
        <x:v>Low</x:v>
      </x:c>
      <x:c r="AJ122" s="51" t="str">
        <x:v>Specialists lack agents that can operate domain tools, preserve provenance, and reproduce results.</x:v>
      </x:c>
      <x:c r="AK122" s="53" t="str">
        <x:f>IF(AND(AH122&gt;=75,V122&gt;=65,Z122&gt;=60),"Build now",IF(AND(AH122&gt;=60,V122&gt;=50),"Validate next",IF(AH122&gt;=50,"Partner or monitor","Deprioritize")))</x:f>
        <x:v>Deprioritize</x:v>
      </x:c>
      <x:c r="AL122" s="51" t="str">
        <x:v>Useful copilot for parts of the workflow; close supervision is required.</x:v>
      </x:c>
      <x:c r="AM122" s="51" t="str">
        <x:v>/Users/jaibhagat/code/prismml/agents-last-exam/tasks/physical_sciences/computational_materials_science/task_card.json</x:v>
      </x:c>
    </x:row>
    <x:row r="123">
      <x:c r="A123" s="40" t="n">
        <x:f>COUNTIF($AH$5:$AH$157,"&gt;"&amp;AH123)+COUNTIF($AH$5:AH123,AH123)</x:f>
        <x:v>115</x:v>
      </x:c>
      <x:c r="B123" s="51" t="str">
        <x:v>psychology_neuro/reddit_ai_post_codebook_boolean_coding</x:v>
      </x:c>
      <x:c r="C123" s="51" t="str">
        <x:v>Reddit AI Post Codebook Boolean Coding</x:v>
      </x:c>
      <x:c r="D123" s="51" t="str">
        <x:v>psychology_neuro</x:v>
      </x:c>
      <x:c r="E123" s="51" t="str">
        <x:v>Economics &amp; Quantitative Social Research</x:v>
      </x:c>
      <x:c r="F123" s="51" t="str">
        <x:v>GUI and specialist application workflow</x:v>
      </x:c>
      <x:c r="G123" s="51" t="str">
        <x:v>Neuroscience or behavioral-research specialist</x:v>
      </x:c>
      <x:c r="H123" s="51" t="str">
        <x:v>Professional and related</x:v>
      </x:c>
      <x:c r="I123" s="52" t="n">
        <x:v>1.15</x:v>
      </x:c>
      <x:c r="J123" s="51" t="str">
        <x:v>Report or analytical workbook</x:v>
      </x:c>
      <x:c r="K123" s="43" t="n">
        <x:v>40</x:v>
      </x:c>
      <x:c r="L123" s="43" t="n">
        <x:v>72</x:v>
      </x:c>
      <x:c r="M123" s="43" t="n">
        <x:v>130</x:v>
      </x:c>
      <x:c r="N123" s="43" t="n">
        <x:v>52</x:v>
      </x:c>
      <x:c r="O123" s="44" t="n">
        <x:f>INDEX('Assumptions'!$B$24:$B$29,MATCH(H123,'Assumptions'!$A$24:$A$29,0))*I123</x:f>
        <x:v>83.93849999999999</x:v>
      </x:c>
      <x:c r="P123" s="41" t="str">
        <x:v>Medium</x:v>
      </x:c>
      <x:c r="Q123" s="45" t="n">
        <x:f>INDEX('Assumptions'!$B$18:$B$21,MATCH(P123,'Assumptions'!$A$18:$A$21,0))</x:f>
        <x:v>1.25</x:v>
      </x:c>
      <x:c r="R123" s="46" t="n">
        <x:v>0.18</x:v>
      </x:c>
      <x:c r="S123" s="47" t="n">
        <x:f>L123*R123</x:f>
        <x:v>12.959999999999999</x:v>
      </x:c>
      <x:c r="T123" s="48" t="n">
        <x:v>50</x:v>
      </x:c>
      <x:c r="U123" s="41" t="n">
        <x:v>2</x:v>
      </x:c>
      <x:c r="V123" s="41" t="n">
        <x:v>10</x:v>
      </x:c>
      <x:c r="W123" s="49" t="n">
        <x:f>V123/100*'Assumptions'!$B$9</x:f>
        <x:v>0.034999999999999996</x:v>
      </x:c>
      <x:c r="X123" s="49" t="n">
        <x:f>MIN('Assumptions'!$B$11,V123/100*'Assumptions'!$B$10)</x:f>
        <x:v>0.07800000000000001</x:v>
      </x:c>
      <x:c r="Y123" s="41" t="n">
        <x:v>52</x:v>
      </x:c>
      <x:c r="Z123" s="41" t="n">
        <x:v>28</x:v>
      </x:c>
      <x:c r="AA123" s="50" t="n">
        <x:f>K123*O123*Q123</x:f>
        <x:v>4196.924999999999</x:v>
      </x:c>
      <x:c r="AB123" s="50" t="n">
        <x:f>L123*O123*Q123</x:f>
        <x:v>7554.464999999999</x:v>
      </x:c>
      <x:c r="AC123" s="50" t="n">
        <x:f>M123*O123*Q123</x:f>
        <x:v>13640.006249999999</x:v>
      </x:c>
      <x:c r="AD123" s="50" t="n">
        <x:f>AB123*N123</x:f>
        <x:v>392832.17999999993</x:v>
      </x:c>
      <x:c r="AE123" s="50" t="n">
        <x:f>MAX(0,N123*(AB123*W123-S123*O123-T123))</x:f>
        <x:v>0</x:v>
      </x:c>
      <x:c r="AF123" s="50" t="n">
        <x:f>MAX(0,N123*(AB123*X123-S123*O123-T123))</x:f>
        <x:v>0</x:v>
      </x:c>
      <x:c r="AG123" s="47" t="n">
        <x:f>(RANK.EQ(AD123,$AD$5:$AD$157,1)-1)/(COUNT($AD$5:$AD$157)-1)*100</x:f>
        <x:v>96.05263157894737</x:v>
      </x:c>
      <x:c r="AH123" s="47" t="n">
        <x:f>MAX(0,MIN(100,AG123*'Assumptions'!$B$5+V123*'Assumptions'!$B$6+Y123*'Assumptions'!$B$7+Z123*'Assumptions'!$B$8-(Q123-1)*'Assumptions'!$B$12))</x:f>
        <x:v>43.613157894736844</x:v>
      </x:c>
      <x:c r="AI123" s="51" t="str">
        <x:v>Low</x:v>
      </x:c>
      <x:c r="AJ123" s="51" t="str">
        <x:v>Professional desktop applications remain difficult for agents because state, files, and visual QA must stay synchronized.</x:v>
      </x:c>
      <x:c r="AK123" s="53" t="str">
        <x:f>IF(AND(AH123&gt;=75,V123&gt;=65,Z123&gt;=60),"Build now",IF(AND(AH123&gt;=60,V123&gt;=50),"Validate next",IF(AH123&gt;=50,"Partner or monitor","Deprioritize")))</x:f>
        <x:v>Deprioritize</x:v>
      </x:c>
      <x:c r="AL123" s="51" t="str">
        <x:v>Useful copilot for parts of the workflow; close supervision is required. Application control and visual QA are major blockers.</x:v>
      </x:c>
      <x:c r="AM123" s="51" t="str">
        <x:v>/Users/jaibhagat/code/prismml/agents-last-exam/tasks/psychology_neuro/reddit_ai_post_codebook_boolean_coding/task_card.json</x:v>
      </x:c>
    </x:row>
    <x:row r="124">
      <x:c r="A124" s="40" t="n">
        <x:f>COUNTIF($AH$5:$AH$157,"&gt;"&amp;AH124)+COUNTIF($AH$5:AH124,AH124)</x:f>
        <x:v>116</x:v>
      </x:c>
      <x:c r="B124" s="51" t="str">
        <x:v>computing_math/newyear_keygen2</x:v>
      </x:c>
      <x:c r="C124" s="51" t="str">
        <x:v>Newyear Keygen2</x:v>
      </x:c>
      <x:c r="D124" s="51" t="str">
        <x:v>computing_math</x:v>
      </x:c>
      <x:c r="E124" s="51" t="str">
        <x:v>Cybersecurity &amp; Digital Forensics</x:v>
      </x:c>
      <x:c r="F124" s="51" t="str">
        <x:v>Software and data engineering</x:v>
      </x:c>
      <x:c r="G124" s="51" t="str">
        <x:v>Cybersecurity or reverse-engineering specialist</x:v>
      </x:c>
      <x:c r="H124" s="51" t="str">
        <x:v>Professional and related</x:v>
      </x:c>
      <x:c r="I124" s="52" t="n">
        <x:v>1.15</x:v>
      </x:c>
      <x:c r="J124" s="51" t="str">
        <x:v>Software, configuration, or data pipeline</x:v>
      </x:c>
      <x:c r="K124" s="43" t="n">
        <x:v>26</x:v>
      </x:c>
      <x:c r="L124" s="43" t="n">
        <x:v>48</x:v>
      </x:c>
      <x:c r="M124" s="43" t="n">
        <x:v>86</x:v>
      </x:c>
      <x:c r="N124" s="43" t="n">
        <x:v>10</x:v>
      </x:c>
      <x:c r="O124" s="44" t="n">
        <x:f>INDEX('Assumptions'!$B$24:$B$29,MATCH(H124,'Assumptions'!$A$24:$A$29,0))*I124</x:f>
        <x:v>83.93849999999999</x:v>
      </x:c>
      <x:c r="P124" s="41" t="str">
        <x:v>Low</x:v>
      </x:c>
      <x:c r="Q124" s="45" t="n">
        <x:f>INDEX('Assumptions'!$B$18:$B$21,MATCH(P124,'Assumptions'!$A$18:$A$21,0))</x:f>
        <x:v>1</x:v>
      </x:c>
      <x:c r="R124" s="46" t="n">
        <x:v>0.1</x:v>
      </x:c>
      <x:c r="S124" s="47" t="n">
        <x:f>L124*R124</x:f>
        <x:v>4.800000000000001</x:v>
      </x:c>
      <x:c r="T124" s="48" t="n">
        <x:v>20</x:v>
      </x:c>
      <x:c r="U124" s="41" t="n">
        <x:v>3</x:v>
      </x:c>
      <x:c r="V124" s="41" t="n">
        <x:v>54</x:v>
      </x:c>
      <x:c r="W124" s="49" t="n">
        <x:f>V124/100*'Assumptions'!$B$9</x:f>
        <x:v>0.189</x:v>
      </x:c>
      <x:c r="X124" s="49" t="n">
        <x:f>MIN('Assumptions'!$B$11,V124/100*'Assumptions'!$B$10)</x:f>
        <x:v>0.4212</x:v>
      </x:c>
      <x:c r="Y124" s="41" t="n">
        <x:v>52</x:v>
      </x:c>
      <x:c r="Z124" s="41" t="n">
        <x:v>67</x:v>
      </x:c>
      <x:c r="AA124" s="50" t="n">
        <x:f>K124*O124*Q124</x:f>
        <x:v>2182.401</x:v>
      </x:c>
      <x:c r="AB124" s="50" t="n">
        <x:f>L124*O124*Q124</x:f>
        <x:v>4029.048</x:v>
      </x:c>
      <x:c r="AC124" s="50" t="n">
        <x:f>M124*O124*Q124</x:f>
        <x:v>7218.710999999999</x:v>
      </x:c>
      <x:c r="AD124" s="50" t="n">
        <x:f>AB124*N124</x:f>
        <x:v>40290.479999999996</x:v>
      </x:c>
      <x:c r="AE124" s="50" t="n">
        <x:f>MAX(0,N124*(AB124*W124-S124*O124-T124))</x:f>
        <x:v>3385.852719999999</x:v>
      </x:c>
      <x:c r="AF124" s="50" t="n">
        <x:f>MAX(0,N124*(AB124*X124-S124*O124-T124))</x:f>
        <x:v>12741.302176</x:v>
      </x:c>
      <x:c r="AG124" s="47" t="n">
        <x:f>(RANK.EQ(AD124,$AD$5:$AD$157,1)-1)/(COUNT($AD$5:$AD$157)-1)*100</x:f>
        <x:v>1.3157894736842104</x:v>
      </x:c>
      <x:c r="AH124" s="47" t="n">
        <x:f>MAX(0,MIN(100,AG124*'Assumptions'!$B$5+V124*'Assumptions'!$B$6+Y124*'Assumptions'!$B$7+Z124*'Assumptions'!$B$8-(Q124-1)*'Assumptions'!$B$12))</x:f>
        <x:v>42.92894736842105</x:v>
      </x:c>
      <x:c r="AI124" s="51" t="str">
        <x:v>Low</x:v>
      </x:c>
      <x:c r="AJ124" s="51" t="str">
        <x:v>The gap is verified repair and migration inside constrained environments, with evidence that changes work.</x:v>
      </x:c>
      <x:c r="AK124" s="53" t="str">
        <x:f>IF(AND(AH124&gt;=75,V124&gt;=65,Z124&gt;=60),"Build now",IF(AND(AH124&gt;=60,V124&gt;=50),"Validate next",IF(AH124&gt;=50,"Partner or monitor","Deprioritize")))</x:f>
        <x:v>Deprioritize</x:v>
      </x:c>
      <x:c r="AL124" s="51" t="str">
        <x:v>Bounded agents can complete standard cases with mandatory review.</x:v>
      </x:c>
      <x:c r="AM124" s="51" t="str">
        <x:v>/Users/jaibhagat/code/prismml/agents-last-exam/tasks/computing_math/newyear_keygen2/task_card.json</x:v>
      </x:c>
    </x:row>
    <x:row r="125">
      <x:c r="A125" s="40" t="n">
        <x:f>COUNTIF($AH$5:$AH$157,"&gt;"&amp;AH125)+COUNTIF($AH$5:AH125,AH125)</x:f>
        <x:v>121</x:v>
      </x:c>
      <x:c r="B125" s="51" t="str">
        <x:v>engineering/chisel_verilog_alignment_seq_1</x:v>
      </x:c>
      <x:c r="C125" s="51" t="str">
        <x:v>Chisel-to-Verilog Source Location Alignment</x:v>
      </x:c>
      <x:c r="D125" s="51" t="str">
        <x:v>engineering</x:v>
      </x:c>
      <x:c r="E125" s="51" t="str">
        <x:v>Semiconductor &amp; Microelectronics Design</x:v>
      </x:c>
      <x:c r="F125" s="51" t="str">
        <x:v>Scientific modeling and computation</x:v>
      </x:c>
      <x:c r="G125" s="51" t="str">
        <x:v>Specialist engineer</x:v>
      </x:c>
      <x:c r="H125" s="51" t="str">
        <x:v>Professional and related</x:v>
      </x:c>
      <x:c r="I125" s="52" t="n">
        <x:v>1.2</x:v>
      </x:c>
      <x:c r="J125" s="51" t="str">
        <x:v>Structured data artifact</x:v>
      </x:c>
      <x:c r="K125" s="43" t="n">
        <x:v>33</x:v>
      </x:c>
      <x:c r="L125" s="43" t="n">
        <x:v>60</x:v>
      </x:c>
      <x:c r="M125" s="43" t="n">
        <x:v>108</x:v>
      </x:c>
      <x:c r="N125" s="43" t="n">
        <x:v>6</x:v>
      </x:c>
      <x:c r="O125" s="44" t="n">
        <x:f>INDEX('Assumptions'!$B$24:$B$29,MATCH(H125,'Assumptions'!$A$24:$A$29,0))*I125</x:f>
        <x:v>87.588</x:v>
      </x:c>
      <x:c r="P125" s="41" t="str">
        <x:v>High</x:v>
      </x:c>
      <x:c r="Q125" s="45" t="n">
        <x:f>INDEX('Assumptions'!$B$18:$B$21,MATCH(P125,'Assumptions'!$A$18:$A$21,0))</x:f>
        <x:v>1.6</x:v>
      </x:c>
      <x:c r="R125" s="46" t="n">
        <x:v>0.28</x:v>
      </x:c>
      <x:c r="S125" s="47" t="n">
        <x:f>L125*R125</x:f>
        <x:v>16.8</x:v>
      </x:c>
      <x:c r="T125" s="48" t="n">
        <x:v>100</x:v>
      </x:c>
      <x:c r="U125" s="41" t="n">
        <x:v>3</x:v>
      </x:c>
      <x:c r="V125" s="41" t="n">
        <x:v>50</x:v>
      </x:c>
      <x:c r="W125" s="49" t="n">
        <x:f>V125/100*'Assumptions'!$B$9</x:f>
        <x:v>0.175</x:v>
      </x:c>
      <x:c r="X125" s="49" t="n">
        <x:f>MIN('Assumptions'!$B$11,V125/100*'Assumptions'!$B$10)</x:f>
        <x:v>0.39</x:v>
      </x:c>
      <x:c r="Y125" s="41" t="n">
        <x:v>76</x:v>
      </x:c>
      <x:c r="Z125" s="41" t="n">
        <x:v>45</x:v>
      </x:c>
      <x:c r="AA125" s="50" t="n">
        <x:f>K125*O125*Q125</x:f>
        <x:v>4624.6464000000005</x:v>
      </x:c>
      <x:c r="AB125" s="50" t="n">
        <x:f>L125*O125*Q125</x:f>
        <x:v>8408.448</x:v>
      </x:c>
      <x:c r="AC125" s="50" t="n">
        <x:f>M125*O125*Q125</x:f>
        <x:v>15135.2064</x:v>
      </x:c>
      <x:c r="AD125" s="50" t="n">
        <x:f>AB125*N125</x:f>
        <x:v>50450.688</x:v>
      </x:c>
      <x:c r="AE125" s="50" t="n">
        <x:f>MAX(0,N125*(AB125*W125-S125*O125-T125))</x:f>
        <x:v>0</x:v>
      </x:c>
      <x:c r="AF125" s="50" t="n">
        <x:f>MAX(0,N125*(AB125*X125-S125*O125-T125))</x:f>
        <x:v>10246.897920000003</x:v>
      </x:c>
      <x:c r="AG125" s="47" t="n">
        <x:f>(RANK.EQ(AD125,$AD$5:$AD$157,1)-1)/(COUNT($AD$5:$AD$157)-1)*100</x:f>
        <x:v>18.421052631578945</x:v>
      </x:c>
      <x:c r="AH125" s="47" t="n">
        <x:f>MAX(0,MIN(100,AG125*'Assumptions'!$B$5+V125*'Assumptions'!$B$6+Y125*'Assumptions'!$B$7+Z125*'Assumptions'!$B$8-(Q125-1)*'Assumptions'!$B$12))</x:f>
        <x:v>42.80526315789474</x:v>
      </x:c>
      <x:c r="AI125" s="51" t="str">
        <x:v>Low</x:v>
      </x:c>
      <x:c r="AJ125" s="51" t="str">
        <x:v>Specialists lack agents that can operate domain tools, preserve provenance, and reproduce results.</x:v>
      </x:c>
      <x:c r="AK125" s="53" t="str">
        <x:f>IF(AND(AH125&gt;=75,V125&gt;=65,Z125&gt;=60),"Build now",IF(AND(AH125&gt;=60,V125&gt;=50),"Validate next",IF(AH125&gt;=50,"Partner or monitor","Deprioritize")))</x:f>
        <x:v>Deprioritize</x:v>
      </x:c>
      <x:c r="AL125" s="51" t="str">
        <x:v>Bounded agents can complete standard cases with mandatory review.</x:v>
      </x:c>
      <x:c r="AM125" s="51" t="str">
        <x:v>/Users/jaibhagat/code/prismml/agents-last-exam/tasks/engineering/chisel_verilog_alignment_seq_1/task_card.json</x:v>
      </x:c>
    </x:row>
    <x:row r="126">
      <x:c r="A126" s="40" t="n">
        <x:f>COUNTIF($AH$5:$AH$157,"&gt;"&amp;AH126)+COUNTIF($AH$5:AH126,AH126)</x:f>
        <x:v>122</x:v>
      </x:c>
      <x:c r="B126" s="51" t="str">
        <x:v>computing_math/tris_crackme</x:v>
      </x:c>
      <x:c r="C126" s="51" t="str">
        <x:v>Tris Crackme</x:v>
      </x:c>
      <x:c r="D126" s="51" t="str">
        <x:v>computing_math</x:v>
      </x:c>
      <x:c r="E126" s="51" t="str">
        <x:v>Cybersecurity &amp; Digital Forensics</x:v>
      </x:c>
      <x:c r="F126" s="51" t="str">
        <x:v>Software and data engineering</x:v>
      </x:c>
      <x:c r="G126" s="51" t="str">
        <x:v>Cybersecurity or reverse-engineering specialist</x:v>
      </x:c>
      <x:c r="H126" s="51" t="str">
        <x:v>Professional and related</x:v>
      </x:c>
      <x:c r="I126" s="52" t="n">
        <x:v>1.15</x:v>
      </x:c>
      <x:c r="J126" s="51" t="str">
        <x:v>Software, configuration, or data pipeline</x:v>
      </x:c>
      <x:c r="K126" s="43" t="n">
        <x:v>26</x:v>
      </x:c>
      <x:c r="L126" s="43" t="n">
        <x:v>48</x:v>
      </x:c>
      <x:c r="M126" s="43" t="n">
        <x:v>86</x:v>
      </x:c>
      <x:c r="N126" s="43" t="n">
        <x:v>10</x:v>
      </x:c>
      <x:c r="O126" s="44" t="n">
        <x:f>INDEX('Assumptions'!$B$24:$B$29,MATCH(H126,'Assumptions'!$A$24:$A$29,0))*I126</x:f>
        <x:v>83.93849999999999</x:v>
      </x:c>
      <x:c r="P126" s="41" t="str">
        <x:v>Low</x:v>
      </x:c>
      <x:c r="Q126" s="45" t="n">
        <x:f>INDEX('Assumptions'!$B$18:$B$21,MATCH(P126,'Assumptions'!$A$18:$A$21,0))</x:f>
        <x:v>1</x:v>
      </x:c>
      <x:c r="R126" s="46" t="n">
        <x:v>0.1</x:v>
      </x:c>
      <x:c r="S126" s="47" t="n">
        <x:f>L126*R126</x:f>
        <x:v>4.800000000000001</x:v>
      </x:c>
      <x:c r="T126" s="48" t="n">
        <x:v>20</x:v>
      </x:c>
      <x:c r="U126" s="41" t="n">
        <x:v>3</x:v>
      </x:c>
      <x:c r="V126" s="41" t="n">
        <x:v>54</x:v>
      </x:c>
      <x:c r="W126" s="49" t="n">
        <x:f>V126/100*'Assumptions'!$B$9</x:f>
        <x:v>0.189</x:v>
      </x:c>
      <x:c r="X126" s="49" t="n">
        <x:f>MIN('Assumptions'!$B$11,V126/100*'Assumptions'!$B$10)</x:f>
        <x:v>0.4212</x:v>
      </x:c>
      <x:c r="Y126" s="41" t="n">
        <x:v>52</x:v>
      </x:c>
      <x:c r="Z126" s="41" t="n">
        <x:v>62</x:v>
      </x:c>
      <x:c r="AA126" s="50" t="n">
        <x:f>K126*O126*Q126</x:f>
        <x:v>2182.401</x:v>
      </x:c>
      <x:c r="AB126" s="50" t="n">
        <x:f>L126*O126*Q126</x:f>
        <x:v>4029.048</x:v>
      </x:c>
      <x:c r="AC126" s="50" t="n">
        <x:f>M126*O126*Q126</x:f>
        <x:v>7218.710999999999</x:v>
      </x:c>
      <x:c r="AD126" s="50" t="n">
        <x:f>AB126*N126</x:f>
        <x:v>40290.479999999996</x:v>
      </x:c>
      <x:c r="AE126" s="50" t="n">
        <x:f>MAX(0,N126*(AB126*W126-S126*O126-T126))</x:f>
        <x:v>3385.852719999999</x:v>
      </x:c>
      <x:c r="AF126" s="50" t="n">
        <x:f>MAX(0,N126*(AB126*X126-S126*O126-T126))</x:f>
        <x:v>12741.302176</x:v>
      </x:c>
      <x:c r="AG126" s="47" t="n">
        <x:f>(RANK.EQ(AD126,$AD$5:$AD$157,1)-1)/(COUNT($AD$5:$AD$157)-1)*100</x:f>
        <x:v>1.3157894736842104</x:v>
      </x:c>
      <x:c r="AH126" s="47" t="n">
        <x:f>MAX(0,MIN(100,AG126*'Assumptions'!$B$5+V126*'Assumptions'!$B$6+Y126*'Assumptions'!$B$7+Z126*'Assumptions'!$B$8-(Q126-1)*'Assumptions'!$B$12))</x:f>
        <x:v>41.92894736842105</x:v>
      </x:c>
      <x:c r="AI126" s="51" t="str">
        <x:v>Low</x:v>
      </x:c>
      <x:c r="AJ126" s="51" t="str">
        <x:v>The gap is verified repair and migration inside constrained environments, with evidence that changes work.</x:v>
      </x:c>
      <x:c r="AK126" s="53" t="str">
        <x:f>IF(AND(AH126&gt;=75,V126&gt;=65,Z126&gt;=60),"Build now",IF(AND(AH126&gt;=60,V126&gt;=50),"Validate next",IF(AH126&gt;=50,"Partner or monitor","Deprioritize")))</x:f>
        <x:v>Deprioritize</x:v>
      </x:c>
      <x:c r="AL126" s="51" t="str">
        <x:v>Bounded agents can complete standard cases with mandatory review.</x:v>
      </x:c>
      <x:c r="AM126" s="51" t="str">
        <x:v>/Users/jaibhagat/code/prismml/agents-last-exam/tasks/computing_math/tris_crackme/task_card.json</x:v>
      </x:c>
    </x:row>
    <x:row r="127">
      <x:c r="A127" s="40" t="n">
        <x:f>COUNTIF($AH$5:$AH$157,"&gt;"&amp;AH127)+COUNTIF($AH$5:AH127,AH127)</x:f>
        <x:v>123</x:v>
      </x:c>
      <x:c r="B127" s="51" t="str">
        <x:v>computing_math/dit_pipeline_cfg_alignment_fid_256_001</x:v>
      </x:c>
      <x:c r="C127" s="51" t="str">
        <x:v>Repair Standalone DiT Pipeline CFG Alignment</x:v>
      </x:c>
      <x:c r="D127" s="51" t="str">
        <x:v>computing_math</x:v>
      </x:c>
      <x:c r="E127" s="51" t="str">
        <x:v>AI Engineering, Safety &amp; CS Research</x:v>
      </x:c>
      <x:c r="F127" s="51" t="str">
        <x:v>Software and data engineering</x:v>
      </x:c>
      <x:c r="G127" s="51" t="str">
        <x:v>Software engineer or data scientist</x:v>
      </x:c>
      <x:c r="H127" s="51" t="str">
        <x:v>Professional and related</x:v>
      </x:c>
      <x:c r="I127" s="52" t="n">
        <x:v>1.15</x:v>
      </x:c>
      <x:c r="J127" s="51" t="str">
        <x:v>Software, configuration, or data pipeline</x:v>
      </x:c>
      <x:c r="K127" s="43" t="n">
        <x:v>26</x:v>
      </x:c>
      <x:c r="L127" s="43" t="n">
        <x:v>48</x:v>
      </x:c>
      <x:c r="M127" s="43" t="n">
        <x:v>86</x:v>
      </x:c>
      <x:c r="N127" s="43" t="n">
        <x:v>10</x:v>
      </x:c>
      <x:c r="O127" s="44" t="n">
        <x:f>INDEX('Assumptions'!$B$24:$B$29,MATCH(H127,'Assumptions'!$A$24:$A$29,0))*I127</x:f>
        <x:v>83.93849999999999</x:v>
      </x:c>
      <x:c r="P127" s="41" t="str">
        <x:v>Low</x:v>
      </x:c>
      <x:c r="Q127" s="45" t="n">
        <x:f>INDEX('Assumptions'!$B$18:$B$21,MATCH(P127,'Assumptions'!$A$18:$A$21,0))</x:f>
        <x:v>1</x:v>
      </x:c>
      <x:c r="R127" s="46" t="n">
        <x:v>0.1</x:v>
      </x:c>
      <x:c r="S127" s="47" t="n">
        <x:f>L127*R127</x:f>
        <x:v>4.800000000000001</x:v>
      </x:c>
      <x:c r="T127" s="48" t="n">
        <x:v>20</x:v>
      </x:c>
      <x:c r="U127" s="41" t="n">
        <x:v>3</x:v>
      </x:c>
      <x:c r="V127" s="41" t="n">
        <x:v>54</x:v>
      </x:c>
      <x:c r="W127" s="49" t="n">
        <x:f>V127/100*'Assumptions'!$B$9</x:f>
        <x:v>0.189</x:v>
      </x:c>
      <x:c r="X127" s="49" t="n">
        <x:f>MIN('Assumptions'!$B$11,V127/100*'Assumptions'!$B$10)</x:f>
        <x:v>0.4212</x:v>
      </x:c>
      <x:c r="Y127" s="41" t="n">
        <x:v>52</x:v>
      </x:c>
      <x:c r="Z127" s="41" t="n">
        <x:v>62</x:v>
      </x:c>
      <x:c r="AA127" s="50" t="n">
        <x:f>K127*O127*Q127</x:f>
        <x:v>2182.401</x:v>
      </x:c>
      <x:c r="AB127" s="50" t="n">
        <x:f>L127*O127*Q127</x:f>
        <x:v>4029.048</x:v>
      </x:c>
      <x:c r="AC127" s="50" t="n">
        <x:f>M127*O127*Q127</x:f>
        <x:v>7218.710999999999</x:v>
      </x:c>
      <x:c r="AD127" s="50" t="n">
        <x:f>AB127*N127</x:f>
        <x:v>40290.479999999996</x:v>
      </x:c>
      <x:c r="AE127" s="50" t="n">
        <x:f>MAX(0,N127*(AB127*W127-S127*O127-T127))</x:f>
        <x:v>3385.852719999999</x:v>
      </x:c>
      <x:c r="AF127" s="50" t="n">
        <x:f>MAX(0,N127*(AB127*X127-S127*O127-T127))</x:f>
        <x:v>12741.302176</x:v>
      </x:c>
      <x:c r="AG127" s="47" t="n">
        <x:f>(RANK.EQ(AD127,$AD$5:$AD$157,1)-1)/(COUNT($AD$5:$AD$157)-1)*100</x:f>
        <x:v>1.3157894736842104</x:v>
      </x:c>
      <x:c r="AH127" s="47" t="n">
        <x:f>MAX(0,MIN(100,AG127*'Assumptions'!$B$5+V127*'Assumptions'!$B$6+Y127*'Assumptions'!$B$7+Z127*'Assumptions'!$B$8-(Q127-1)*'Assumptions'!$B$12))</x:f>
        <x:v>41.92894736842105</x:v>
      </x:c>
      <x:c r="AI127" s="51" t="str">
        <x:v>Low</x:v>
      </x:c>
      <x:c r="AJ127" s="51" t="str">
        <x:v>The gap is verified repair and migration inside constrained environments, with evidence that changes work.</x:v>
      </x:c>
      <x:c r="AK127" s="53" t="str">
        <x:f>IF(AND(AH127&gt;=75,V127&gt;=65,Z127&gt;=60),"Build now",IF(AND(AH127&gt;=60,V127&gt;=50),"Validate next",IF(AH127&gt;=50,"Partner or monitor","Deprioritize")))</x:f>
        <x:v>Deprioritize</x:v>
      </x:c>
      <x:c r="AL127" s="51" t="str">
        <x:v>Bounded agents can complete standard cases with mandatory review.</x:v>
      </x:c>
      <x:c r="AM127" s="51" t="str">
        <x:v>/Users/jaibhagat/code/prismml/agents-last-exam/tasks/computing_math/dit_pipeline_cfg_alignment_fid_256_001/task_card.json</x:v>
      </x:c>
    </x:row>
    <x:row r="128">
      <x:c r="A128" s="40" t="n">
        <x:f>COUNTIF($AH$5:$AH$157,"&gt;"&amp;AH128)+COUNTIF($AH$5:AH128,AH128)</x:f>
        <x:v>124</x:v>
      </x:c>
      <x:c r="B128" s="51" t="str">
        <x:v>other/mota_exploration</x:v>
      </x:c>
      <x:c r="C128" s="51" t="str">
        <x:v>Game Port Reference Capture: Magic Tower</x:v>
      </x:c>
      <x:c r="D128" s="51" t="str">
        <x:v>other</x:v>
      </x:c>
      <x:c r="E128" s="51" t="str">
        <x:v>3D, Animation &amp; Interactive Media</x:v>
      </x:c>
      <x:c r="F128" s="51" t="str">
        <x:v>Software and data engineering</x:v>
      </x:c>
      <x:c r="G128" s="51" t="str">
        <x:v>Specialist professional</x:v>
      </x:c>
      <x:c r="H128" s="51" t="str">
        <x:v>Professional and related</x:v>
      </x:c>
      <x:c r="I128" s="52" t="n">
        <x:v>1</x:v>
      </x:c>
      <x:c r="J128" s="51" t="str">
        <x:v>Software, configuration, or data pipeline</x:v>
      </x:c>
      <x:c r="K128" s="43" t="n">
        <x:v>26</x:v>
      </x:c>
      <x:c r="L128" s="43" t="n">
        <x:v>48</x:v>
      </x:c>
      <x:c r="M128" s="43" t="n">
        <x:v>86</x:v>
      </x:c>
      <x:c r="N128" s="43" t="n">
        <x:v>10</x:v>
      </x:c>
      <x:c r="O128" s="44" t="n">
        <x:f>INDEX('Assumptions'!$B$24:$B$29,MATCH(H128,'Assumptions'!$A$24:$A$29,0))*I128</x:f>
        <x:v>72.99</x:v>
      </x:c>
      <x:c r="P128" s="41" t="str">
        <x:v>Low</x:v>
      </x:c>
      <x:c r="Q128" s="45" t="n">
        <x:f>INDEX('Assumptions'!$B$18:$B$21,MATCH(P128,'Assumptions'!$A$18:$A$21,0))</x:f>
        <x:v>1</x:v>
      </x:c>
      <x:c r="R128" s="46" t="n">
        <x:v>0.1</x:v>
      </x:c>
      <x:c r="S128" s="47" t="n">
        <x:f>L128*R128</x:f>
        <x:v>4.800000000000001</x:v>
      </x:c>
      <x:c r="T128" s="48" t="n">
        <x:v>20</x:v>
      </x:c>
      <x:c r="U128" s="41" t="n">
        <x:v>3</x:v>
      </x:c>
      <x:c r="V128" s="41" t="n">
        <x:v>54</x:v>
      </x:c>
      <x:c r="W128" s="49" t="n">
        <x:f>V128/100*'Assumptions'!$B$9</x:f>
        <x:v>0.189</x:v>
      </x:c>
      <x:c r="X128" s="49" t="n">
        <x:f>MIN('Assumptions'!$B$11,V128/100*'Assumptions'!$B$10)</x:f>
        <x:v>0.4212</x:v>
      </x:c>
      <x:c r="Y128" s="41" t="n">
        <x:v>52</x:v>
      </x:c>
      <x:c r="Z128" s="41" t="n">
        <x:v>62</x:v>
      </x:c>
      <x:c r="AA128" s="50" t="n">
        <x:f>K128*O128*Q128</x:f>
        <x:v>1897.7399999999998</x:v>
      </x:c>
      <x:c r="AB128" s="50" t="n">
        <x:f>L128*O128*Q128</x:f>
        <x:v>3503.5199999999995</x:v>
      </x:c>
      <x:c r="AC128" s="50" t="n">
        <x:f>M128*O128*Q128</x:f>
        <x:v>6277.139999999999</x:v>
      </x:c>
      <x:c r="AD128" s="50" t="n">
        <x:f>AB128*N128</x:f>
        <x:v>35035.2</x:v>
      </x:c>
      <x:c r="AE128" s="50" t="n">
        <x:f>MAX(0,N128*(AB128*W128-S128*O128-T128))</x:f>
        <x:v>2918.132799999999</x:v>
      </x:c>
      <x:c r="AF128" s="50" t="n">
        <x:f>MAX(0,N128*(AB128*X128-S128*O128-T128))</x:f>
        <x:v>11053.306239999998</x:v>
      </x:c>
      <x:c r="AG128" s="47" t="n">
        <x:f>(RANK.EQ(AD128,$AD$5:$AD$157,1)-1)/(COUNT($AD$5:$AD$157)-1)*100</x:f>
        <x:v>0.6578947368421052</x:v>
      </x:c>
      <x:c r="AH128" s="47" t="n">
        <x:f>MAX(0,MIN(100,AG128*'Assumptions'!$B$5+V128*'Assumptions'!$B$6+Y128*'Assumptions'!$B$7+Z128*'Assumptions'!$B$8-(Q128-1)*'Assumptions'!$B$12))</x:f>
        <x:v>41.76447368421053</x:v>
      </x:c>
      <x:c r="AI128" s="51" t="str">
        <x:v>Low</x:v>
      </x:c>
      <x:c r="AJ128" s="51" t="str">
        <x:v>The gap is verified repair and migration inside constrained environments, with evidence that changes work.</x:v>
      </x:c>
      <x:c r="AK128" s="53" t="str">
        <x:f>IF(AND(AH128&gt;=75,V128&gt;=65,Z128&gt;=60),"Build now",IF(AND(AH128&gt;=60,V128&gt;=50),"Validate next",IF(AH128&gt;=50,"Partner or monitor","Deprioritize")))</x:f>
        <x:v>Deprioritize</x:v>
      </x:c>
      <x:c r="AL128" s="51" t="str">
        <x:v>Bounded agents can complete standard cases with mandatory review.</x:v>
      </x:c>
      <x:c r="AM128" s="51" t="str">
        <x:v>/Users/jaibhagat/code/prismml/agents-last-exam/tasks/other/mota_exploration/task_card.json</x:v>
      </x:c>
    </x:row>
    <x:row r="129">
      <x:c r="A129" s="40" t="n">
        <x:f>COUNTIF($AH$5:$AH$157,"&gt;"&amp;AH129)+COUNTIF($AH$5:AH129,AH129)</x:f>
        <x:v>125</x:v>
      </x:c>
      <x:c r="B129" s="51" t="str">
        <x:v>health_medicine/microdicom_nih_cxr_reader_adjudication</x:v>
      </x:c>
      <x:c r="C129" s="51" t="str">
        <x:v>MicroDicom NIH CXR Reader Adjudication</x:v>
      </x:c>
      <x:c r="D129" s="51" t="str">
        <x:v>health_medicine</x:v>
      </x:c>
      <x:c r="E129" s="51" t="str">
        <x:v>Clinical Diagnostics &amp; Imaging</x:v>
      </x:c>
      <x:c r="F129" s="51" t="str">
        <x:v>GUI and specialist application workflow</x:v>
      </x:c>
      <x:c r="G129" s="51" t="str">
        <x:v>Clinical data scientist or medical specialist</x:v>
      </x:c>
      <x:c r="H129" s="51" t="str">
        <x:v>Professional and related</x:v>
      </x:c>
      <x:c r="I129" s="52" t="n">
        <x:v>1.3</x:v>
      </x:c>
      <x:c r="J129" s="51" t="str">
        <x:v>Structured data artifact</x:v>
      </x:c>
      <x:c r="K129" s="43" t="n">
        <x:v>40</x:v>
      </x:c>
      <x:c r="L129" s="43" t="n">
        <x:v>72</x:v>
      </x:c>
      <x:c r="M129" s="43" t="n">
        <x:v>130</x:v>
      </x:c>
      <x:c r="N129" s="43" t="n">
        <x:v>100</x:v>
      </x:c>
      <x:c r="O129" s="44" t="n">
        <x:f>INDEX('Assumptions'!$B$24:$B$29,MATCH(H129,'Assumptions'!$A$24:$A$29,0))*I129</x:f>
        <x:v>94.887</x:v>
      </x:c>
      <x:c r="P129" s="41" t="str">
        <x:v>Critical</x:v>
      </x:c>
      <x:c r="Q129" s="45" t="n">
        <x:f>INDEX('Assumptions'!$B$18:$B$21,MATCH(P129,'Assumptions'!$A$18:$A$21,0))</x:f>
        <x:v>2.2</x:v>
      </x:c>
      <x:c r="R129" s="46" t="n">
        <x:v>0.4</x:v>
      </x:c>
      <x:c r="S129" s="47" t="n">
        <x:f>L129*R129</x:f>
        <x:v>28.8</x:v>
      </x:c>
      <x:c r="T129" s="48" t="n">
        <x:v>50</x:v>
      </x:c>
      <x:c r="U129" s="41" t="n">
        <x:v>2</x:v>
      </x:c>
      <x:c r="V129" s="41" t="n">
        <x:v>10</x:v>
      </x:c>
      <x:c r="W129" s="49" t="n">
        <x:f>V129/100*'Assumptions'!$B$9</x:f>
        <x:v>0.034999999999999996</x:v>
      </x:c>
      <x:c r="X129" s="49" t="n">
        <x:f>MIN('Assumptions'!$B$11,V129/100*'Assumptions'!$B$10)</x:f>
        <x:v>0.07800000000000001</x:v>
      </x:c>
      <x:c r="Y129" s="41" t="n">
        <x:v>64</x:v>
      </x:c>
      <x:c r="Z129" s="41" t="n">
        <x:v>17</x:v>
      </x:c>
      <x:c r="AA129" s="50" t="n">
        <x:f>K129*O129*Q129</x:f>
        <x:v>8350.056</x:v>
      </x:c>
      <x:c r="AB129" s="50" t="n">
        <x:f>L129*O129*Q129</x:f>
        <x:v>15030.1008</x:v>
      </x:c>
      <x:c r="AC129" s="50" t="n">
        <x:f>M129*O129*Q129</x:f>
        <x:v>27137.682</x:v>
      </x:c>
      <x:c r="AD129" s="50" t="n">
        <x:f>AB129*N129</x:f>
        <x:v>1503010.08</x:v>
      </x:c>
      <x:c r="AE129" s="50" t="n">
        <x:f>MAX(0,N129*(AB129*W129-S129*O129-T129))</x:f>
        <x:v>0</x:v>
      </x:c>
      <x:c r="AF129" s="50" t="n">
        <x:f>MAX(0,N129*(AB129*X129-S129*O129-T129))</x:f>
        <x:v>0</x:v>
      </x:c>
      <x:c r="AG129" s="47" t="n">
        <x:f>(RANK.EQ(AD129,$AD$5:$AD$157,1)-1)/(COUNT($AD$5:$AD$157)-1)*100</x:f>
        <x:v>99.3421052631579</x:v>
      </x:c>
      <x:c r="AH129" s="47" t="n">
        <x:f>MAX(0,MIN(100,AG129*'Assumptions'!$B$5+V129*'Assumptions'!$B$6+Y129*'Assumptions'!$B$7+Z129*'Assumptions'!$B$8-(Q129-1)*'Assumptions'!$B$12))</x:f>
        <x:v>37.63552631578948</x:v>
      </x:c>
      <x:c r="AI129" s="51" t="str">
        <x:v>Low</x:v>
      </x:c>
      <x:c r="AJ129" s="51" t="str">
        <x:v>Professional desktop applications remain difficult for agents because state, files, and visual QA must stay synchronized.</x:v>
      </x:c>
      <x:c r="AK129" s="53" t="str">
        <x:f>IF(AND(AH129&gt;=75,V129&gt;=65,Z129&gt;=60),"Build now",IF(AND(AH129&gt;=60,V129&gt;=50),"Validate next",IF(AH129&gt;=50,"Partner or monitor","Deprioritize")))</x:f>
        <x:v>Deprioritize</x:v>
      </x:c>
      <x:c r="AL129" s="51" t="str">
        <x:v>Useful copilot for parts of the workflow; close supervision is required. Accountable professional signoff remains necessary. Application control and visual QA are major blockers.</x:v>
      </x:c>
      <x:c r="AM129" s="51" t="str">
        <x:v>/Users/jaibhagat/code/prismml/agents-last-exam/tasks/health_medicine/microdicom_nih_cxr_reader_adjudication/task_card.json</x:v>
      </x:c>
    </x:row>
    <x:row r="130">
      <x:c r="A130" s="40" t="n">
        <x:f>COUNTIF($AH$5:$AH$157,"&gt;"&amp;AH130)+COUNTIF($AH$5:AH130,AH130)</x:f>
        <x:v>126</x:v>
      </x:c>
      <x:c r="B130" s="51" t="str">
        <x:v>business_finance/saas_onepager_brand_refresh_instance_1</x:v>
      </x:c>
      <x:c r="C130" s="51" t="str">
        <x:v>SaaS One-Pager Brand Refresh</x:v>
      </x:c>
      <x:c r="D130" s="51" t="str">
        <x:v>business_finance</x:v>
      </x:c>
      <x:c r="E130" s="51" t="str">
        <x:v>Graphic, Visual &amp; Product Design</x:v>
      </x:c>
      <x:c r="F130" s="51" t="str">
        <x:v>GUI and specialist application workflow</x:v>
      </x:c>
      <x:c r="G130" s="51" t="str">
        <x:v>Financial or operations analyst</x:v>
      </x:c>
      <x:c r="H130" s="51" t="str">
        <x:v>Management, business, and financial</x:v>
      </x:c>
      <x:c r="I130" s="52" t="n">
        <x:v>1.15</x:v>
      </x:c>
      <x:c r="J130" s="51" t="str">
        <x:v>Structured data artifact</x:v>
      </x:c>
      <x:c r="K130" s="43" t="n">
        <x:v>40</x:v>
      </x:c>
      <x:c r="L130" s="43" t="n">
        <x:v>72</x:v>
      </x:c>
      <x:c r="M130" s="43" t="n">
        <x:v>130</x:v>
      </x:c>
      <x:c r="N130" s="43" t="n">
        <x:v>8</x:v>
      </x:c>
      <x:c r="O130" s="44" t="n">
        <x:f>INDEX('Assumptions'!$B$24:$B$29,MATCH(H130,'Assumptions'!$A$24:$A$29,0))*I130</x:f>
        <x:v>100.84349999999999</x:v>
      </x:c>
      <x:c r="P130" s="41" t="str">
        <x:v>Medium</x:v>
      </x:c>
      <x:c r="Q130" s="45" t="n">
        <x:f>INDEX('Assumptions'!$B$18:$B$21,MATCH(P130,'Assumptions'!$A$18:$A$21,0))</x:f>
        <x:v>1.25</x:v>
      </x:c>
      <x:c r="R130" s="46" t="n">
        <x:v>0.18</x:v>
      </x:c>
      <x:c r="S130" s="47" t="n">
        <x:f>L130*R130</x:f>
        <x:v>12.959999999999999</x:v>
      </x:c>
      <x:c r="T130" s="48" t="n">
        <x:v>50</x:v>
      </x:c>
      <x:c r="U130" s="41" t="n">
        <x:v>3</x:v>
      </x:c>
      <x:c r="V130" s="41" t="n">
        <x:v>20</x:v>
      </x:c>
      <x:c r="W130" s="49" t="n">
        <x:f>V130/100*'Assumptions'!$B$9</x:f>
        <x:v>0.06999999999999999</x:v>
      </x:c>
      <x:c r="X130" s="49" t="n">
        <x:f>MIN('Assumptions'!$B$11,V130/100*'Assumptions'!$B$10)</x:f>
        <x:v>0.15600000000000003</x:v>
      </x:c>
      <x:c r="Y130" s="41" t="n">
        <x:v>56</x:v>
      </x:c>
      <x:c r="Z130" s="41" t="n">
        <x:v>42</x:v>
      </x:c>
      <x:c r="AA130" s="50" t="n">
        <x:f>K130*O130*Q130</x:f>
        <x:v>5042.174999999999</x:v>
      </x:c>
      <x:c r="AB130" s="50" t="n">
        <x:f>L130*O130*Q130</x:f>
        <x:v>9075.914999999999</x:v>
      </x:c>
      <x:c r="AC130" s="50" t="n">
        <x:f>M130*O130*Q130</x:f>
        <x:v>16387.06875</x:v>
      </x:c>
      <x:c r="AD130" s="50" t="n">
        <x:f>AB130*N130</x:f>
        <x:v>72607.31999999999</x:v>
      </x:c>
      <x:c r="AE130" s="50" t="n">
        <x:f>MAX(0,N130*(AB130*W130-S130*O130-T130))</x:f>
        <x:v>0</x:v>
      </x:c>
      <x:c r="AF130" s="50" t="n">
        <x:f>MAX(0,N130*(AB130*X130-S130*O130-T130))</x:f>
        <x:v>471.2878400000027</x:v>
      </x:c>
      <x:c r="AG130" s="47" t="n">
        <x:f>(RANK.EQ(AD130,$AD$5:$AD$157,1)-1)/(COUNT($AD$5:$AD$157)-1)*100</x:f>
        <x:v>40.131578947368425</x:v>
      </x:c>
      <x:c r="AH130" s="47" t="n">
        <x:f>MAX(0,MIN(100,AG130*'Assumptions'!$B$5+V130*'Assumptions'!$B$6+Y130*'Assumptions'!$B$7+Z130*'Assumptions'!$B$8-(Q130-1)*'Assumptions'!$B$12))</x:f>
        <x:v>36.43289473684211</x:v>
      </x:c>
      <x:c r="AI130" s="51" t="str">
        <x:v>Low</x:v>
      </x:c>
      <x:c r="AJ130" s="51" t="str">
        <x:v>Professional desktop applications remain difficult for agents because state, files, and visual QA must stay synchronized.</x:v>
      </x:c>
      <x:c r="AK130" s="53" t="str">
        <x:f>IF(AND(AH130&gt;=75,V130&gt;=65,Z130&gt;=60),"Build now",IF(AND(AH130&gt;=60,V130&gt;=50),"Validate next",IF(AH130&gt;=50,"Partner or monitor","Deprioritize")))</x:f>
        <x:v>Deprioritize</x:v>
      </x:c>
      <x:c r="AL130" s="51" t="str">
        <x:v>Bounded agents can complete standard cases with mandatory review. Application control and visual QA are major blockers.</x:v>
      </x:c>
      <x:c r="AM130" s="51" t="str">
        <x:v>/Users/jaibhagat/code/prismml/agents-last-exam/tasks/business_finance/saas_onepager_brand_refresh_instance_1/task_card.json</x:v>
      </x:c>
    </x:row>
    <x:row r="131">
      <x:c r="A131" s="40" t="n">
        <x:f>COUNTIF($AH$5:$AH$157,"&gt;"&amp;AH131)+COUNTIF($AH$5:AH131,AH131)</x:f>
        <x:v>127</x:v>
      </x:c>
      <x:c r="B131" s="51" t="str">
        <x:v>business_finance/odoo</x:v>
      </x:c>
      <x:c r="C131" s="51" t="str">
        <x:v>Odoo Supply-Chain End-To-End Workflow</x:v>
      </x:c>
      <x:c r="D131" s="51" t="str">
        <x:v>business_finance</x:v>
      </x:c>
      <x:c r="E131" s="51" t="str">
        <x:v>Supply Chain &amp; Logistics</x:v>
      </x:c>
      <x:c r="F131" s="51" t="str">
        <x:v>GUI and specialist application workflow</x:v>
      </x:c>
      <x:c r="G131" s="51" t="str">
        <x:v>Financial or operations analyst</x:v>
      </x:c>
      <x:c r="H131" s="51" t="str">
        <x:v>Management, business, and financial</x:v>
      </x:c>
      <x:c r="I131" s="52" t="n">
        <x:v>1.15</x:v>
      </x:c>
      <x:c r="J131" s="51" t="str">
        <x:v>Structured data artifact</x:v>
      </x:c>
      <x:c r="K131" s="43" t="n">
        <x:v>59</x:v>
      </x:c>
      <x:c r="L131" s="43" t="n">
        <x:v>108</x:v>
      </x:c>
      <x:c r="M131" s="43" t="n">
        <x:v>194</x:v>
      </x:c>
      <x:c r="N131" s="43" t="n">
        <x:v>8</x:v>
      </x:c>
      <x:c r="O131" s="44" t="n">
        <x:f>INDEX('Assumptions'!$B$24:$B$29,MATCH(H131,'Assumptions'!$A$24:$A$29,0))*I131</x:f>
        <x:v>100.84349999999999</x:v>
      </x:c>
      <x:c r="P131" s="41" t="str">
        <x:v>Medium</x:v>
      </x:c>
      <x:c r="Q131" s="45" t="n">
        <x:f>INDEX('Assumptions'!$B$18:$B$21,MATCH(P131,'Assumptions'!$A$18:$A$21,0))</x:f>
        <x:v>1.25</x:v>
      </x:c>
      <x:c r="R131" s="46" t="n">
        <x:v>0.18</x:v>
      </x:c>
      <x:c r="S131" s="47" t="n">
        <x:f>L131*R131</x:f>
        <x:v>19.439999999999998</x:v>
      </x:c>
      <x:c r="T131" s="48" t="n">
        <x:v>50</x:v>
      </x:c>
      <x:c r="U131" s="41" t="n">
        <x:v>2</x:v>
      </x:c>
      <x:c r="V131" s="41" t="n">
        <x:v>5</x:v>
      </x:c>
      <x:c r="W131" s="49" t="n">
        <x:f>V131/100*'Assumptions'!$B$9</x:f>
        <x:v>0.017499999999999998</x:v>
      </x:c>
      <x:c r="X131" s="49" t="n">
        <x:f>MIN('Assumptions'!$B$11,V131/100*'Assumptions'!$B$10)</x:f>
        <x:v>0.03900000000000001</x:v>
      </x:c>
      <x:c r="Y131" s="41" t="n">
        <x:v>52</x:v>
      </x:c>
      <x:c r="Z131" s="41" t="n">
        <x:v>33</x:v>
      </x:c>
      <x:c r="AA131" s="50" t="n">
        <x:f>K131*O131*Q131</x:f>
        <x:v>7437.208124999999</x:v>
      </x:c>
      <x:c r="AB131" s="50" t="n">
        <x:f>L131*O131*Q131</x:f>
        <x:v>13613.8725</x:v>
      </x:c>
      <x:c r="AC131" s="50" t="n">
        <x:f>M131*O131*Q131</x:f>
        <x:v>24454.548749999998</x:v>
      </x:c>
      <x:c r="AD131" s="50" t="n">
        <x:f>AB131*N131</x:f>
        <x:v>108910.98</x:v>
      </x:c>
      <x:c r="AE131" s="50" t="n">
        <x:f>MAX(0,N131*(AB131*W131-S131*O131-T131))</x:f>
        <x:v>0</x:v>
      </x:c>
      <x:c r="AF131" s="50" t="n">
        <x:f>MAX(0,N131*(AB131*X131-S131*O131-T131))</x:f>
        <x:v>0</x:v>
      </x:c>
      <x:c r="AG131" s="47" t="n">
        <x:f>(RANK.EQ(AD131,$AD$5:$AD$157,1)-1)/(COUNT($AD$5:$AD$157)-1)*100</x:f>
        <x:v>66.44736842105263</x:v>
      </x:c>
      <x:c r="AH131" s="47" t="n">
        <x:f>MAX(0,MIN(100,AG131*'Assumptions'!$B$5+V131*'Assumptions'!$B$6+Y131*'Assumptions'!$B$7+Z131*'Assumptions'!$B$8-(Q131-1)*'Assumptions'!$B$12))</x:f>
        <x:v>35.71184210526316</x:v>
      </x:c>
      <x:c r="AI131" s="51" t="str">
        <x:v>Low</x:v>
      </x:c>
      <x:c r="AJ131" s="51" t="str">
        <x:v>Professional desktop applications remain difficult for agents because state, files, and visual QA must stay synchronized.</x:v>
      </x:c>
      <x:c r="AK131" s="53" t="str">
        <x:f>IF(AND(AH131&gt;=75,V131&gt;=65,Z131&gt;=60),"Build now",IF(AND(AH131&gt;=60,V131&gt;=50),"Validate next",IF(AH131&gt;=50,"Partner or monitor","Deprioritize")))</x:f>
        <x:v>Deprioritize</x:v>
      </x:c>
      <x:c r="AL131" s="51" t="str">
        <x:v>Useful copilot for parts of the workflow; close supervision is required. Application control and visual QA are major blockers.</x:v>
      </x:c>
      <x:c r="AM131" s="51" t="str">
        <x:v>/Users/jaibhagat/code/prismml/agents-last-exam/tasks/business_finance/odoo/task_card.json</x:v>
      </x:c>
    </x:row>
    <x:row r="132">
      <x:c r="A132" s="40" t="n">
        <x:f>COUNTIF($AH$5:$AH$157,"&gt;"&amp;AH132)+COUNTIF($AH$5:AH132,AH132)</x:f>
        <x:v>128</x:v>
      </x:c>
      <x:c r="B132" s="51" t="str">
        <x:v>computing_math/go_game_reconstruction_1</x:v>
      </x:c>
      <x:c r="C132" s="51" t="str">
        <x:v>Go Game Reconstruction 1</x:v>
      </x:c>
      <x:c r="D132" s="51" t="str">
        <x:v>computing_math</x:v>
      </x:c>
      <x:c r="E132" s="51" t="str">
        <x:v>Sports</x:v>
      </x:c>
      <x:c r="F132" s="51" t="str">
        <x:v>GUI and specialist application workflow</x:v>
      </x:c>
      <x:c r="G132" s="51" t="str">
        <x:v>Software engineer or data scientist</x:v>
      </x:c>
      <x:c r="H132" s="51" t="str">
        <x:v>Professional and related</x:v>
      </x:c>
      <x:c r="I132" s="52" t="n">
        <x:v>1.15</x:v>
      </x:c>
      <x:c r="J132" s="51" t="str">
        <x:v>Structured data artifact</x:v>
      </x:c>
      <x:c r="K132" s="43" t="n">
        <x:v>40</x:v>
      </x:c>
      <x:c r="L132" s="43" t="n">
        <x:v>72</x:v>
      </x:c>
      <x:c r="M132" s="43" t="n">
        <x:v>130</x:v>
      </x:c>
      <x:c r="N132" s="43" t="n">
        <x:v>8</x:v>
      </x:c>
      <x:c r="O132" s="44" t="n">
        <x:f>INDEX('Assumptions'!$B$24:$B$29,MATCH(H132,'Assumptions'!$A$24:$A$29,0))*I132</x:f>
        <x:v>83.93849999999999</x:v>
      </x:c>
      <x:c r="P132" s="41" t="str">
        <x:v>Low</x:v>
      </x:c>
      <x:c r="Q132" s="45" t="n">
        <x:f>INDEX('Assumptions'!$B$18:$B$21,MATCH(P132,'Assumptions'!$A$18:$A$21,0))</x:f>
        <x:v>1</x:v>
      </x:c>
      <x:c r="R132" s="46" t="n">
        <x:v>0.1</x:v>
      </x:c>
      <x:c r="S132" s="47" t="n">
        <x:f>L132*R132</x:f>
        <x:v>7.2</x:v>
      </x:c>
      <x:c r="T132" s="48" t="n">
        <x:v>50</x:v>
      </x:c>
      <x:c r="U132" s="41" t="n">
        <x:v>3</x:v>
      </x:c>
      <x:c r="V132" s="41" t="n">
        <x:v>24</x:v>
      </x:c>
      <x:c r="W132" s="49" t="n">
        <x:f>V132/100*'Assumptions'!$B$9</x:f>
        <x:v>0.08399999999999999</x:v>
      </x:c>
      <x:c r="X132" s="49" t="n">
        <x:f>MIN('Assumptions'!$B$11,V132/100*'Assumptions'!$B$10)</x:f>
        <x:v>0.1872</x:v>
      </x:c>
      <x:c r="Y132" s="41" t="n">
        <x:v>64</x:v>
      </x:c>
      <x:c r="Z132" s="41" t="n">
        <x:v>42</x:v>
      </x:c>
      <x:c r="AA132" s="50" t="n">
        <x:f>K132*O132*Q132</x:f>
        <x:v>3357.5399999999995</x:v>
      </x:c>
      <x:c r="AB132" s="50" t="n">
        <x:f>L132*O132*Q132</x:f>
        <x:v>6043.571999999999</x:v>
      </x:c>
      <x:c r="AC132" s="50" t="n">
        <x:f>M132*O132*Q132</x:f>
        <x:v>10912.005</x:v>
      </x:c>
      <x:c r="AD132" s="50" t="n">
        <x:f>AB132*N132</x:f>
        <x:v>48348.575999999994</x:v>
      </x:c>
      <x:c r="AE132" s="50" t="n">
        <x:f>MAX(0,N132*(AB132*W132-S132*O132-T132))</x:f>
        <x:v>0</x:v>
      </x:c>
      <x:c r="AF132" s="50" t="n">
        <x:f>MAX(0,N132*(AB132*X132-S132*O132-T132))</x:f>
        <x:v>3815.9958272000003</x:v>
      </x:c>
      <x:c r="AG132" s="47" t="n">
        <x:f>(RANK.EQ(AD132,$AD$5:$AD$157,1)-1)/(COUNT($AD$5:$AD$157)-1)*100</x:f>
        <x:v>13.815789473684212</x:v>
      </x:c>
      <x:c r="AH132" s="47" t="n">
        <x:f>MAX(0,MIN(100,AG132*'Assumptions'!$B$5+V132*'Assumptions'!$B$6+Y132*'Assumptions'!$B$7+Z132*'Assumptions'!$B$8-(Q132-1)*'Assumptions'!$B$12))</x:f>
        <x:v>35.05394736842105</x:v>
      </x:c>
      <x:c r="AI132" s="51" t="str">
        <x:v>Low</x:v>
      </x:c>
      <x:c r="AJ132" s="51" t="str">
        <x:v>Professional desktop applications remain difficult for agents because state, files, and visual QA must stay synchronized.</x:v>
      </x:c>
      <x:c r="AK132" s="53" t="str">
        <x:f>IF(AND(AH132&gt;=75,V132&gt;=65,Z132&gt;=60),"Build now",IF(AND(AH132&gt;=60,V132&gt;=50),"Validate next",IF(AH132&gt;=50,"Partner or monitor","Deprioritize")))</x:f>
        <x:v>Deprioritize</x:v>
      </x:c>
      <x:c r="AL132" s="51" t="str">
        <x:v>Bounded agents can complete standard cases with mandatory review. Application control and visual QA are major blockers.</x:v>
      </x:c>
      <x:c r="AM132" s="51" t="str">
        <x:v>/Users/jaibhagat/code/prismml/agents-last-exam/tasks/computing_math/go_game_reconstruction_1/task_card.json</x:v>
      </x:c>
    </x:row>
    <x:row r="133">
      <x:c r="A133" s="40" t="n">
        <x:f>COUNTIF($AH$5:$AH$157,"&gt;"&amp;AH133)+COUNTIF($AH$5:AH133,AH133)</x:f>
        <x:v>129</x:v>
      </x:c>
      <x:c r="B133" s="51" t="str">
        <x:v>engineering/mold-flow</x:v>
      </x:c>
      <x:c r="C133" s="51" t="str">
        <x:v>mold-flow</x:v>
      </x:c>
      <x:c r="D133" s="51" t="str">
        <x:v>engineering</x:v>
      </x:c>
      <x:c r="E133" s="51" t="str">
        <x:v>Manufacturing &amp; Industrial Systems</x:v>
      </x:c>
      <x:c r="F133" s="51" t="str">
        <x:v>GUI and specialist application workflow</x:v>
      </x:c>
      <x:c r="G133" s="51" t="str">
        <x:v>Specialist engineer</x:v>
      </x:c>
      <x:c r="H133" s="51" t="str">
        <x:v>Professional and related</x:v>
      </x:c>
      <x:c r="I133" s="52" t="n">
        <x:v>1.2</x:v>
      </x:c>
      <x:c r="J133" s="51" t="str">
        <x:v>Structured data artifact</x:v>
      </x:c>
      <x:c r="K133" s="43" t="n">
        <x:v>40</x:v>
      </x:c>
      <x:c r="L133" s="43" t="n">
        <x:v>72</x:v>
      </x:c>
      <x:c r="M133" s="43" t="n">
        <x:v>130</x:v>
      </x:c>
      <x:c r="N133" s="43" t="n">
        <x:v>8</x:v>
      </x:c>
      <x:c r="O133" s="44" t="n">
        <x:f>INDEX('Assumptions'!$B$24:$B$29,MATCH(H133,'Assumptions'!$A$24:$A$29,0))*I133</x:f>
        <x:v>87.588</x:v>
      </x:c>
      <x:c r="P133" s="41" t="str">
        <x:v>High</x:v>
      </x:c>
      <x:c r="Q133" s="45" t="n">
        <x:f>INDEX('Assumptions'!$B$18:$B$21,MATCH(P133,'Assumptions'!$A$18:$A$21,0))</x:f>
        <x:v>1.6</x:v>
      </x:c>
      <x:c r="R133" s="46" t="n">
        <x:v>0.28</x:v>
      </x:c>
      <x:c r="S133" s="47" t="n">
        <x:f>L133*R133</x:f>
        <x:v>20.160000000000004</x:v>
      </x:c>
      <x:c r="T133" s="48" t="n">
        <x:v>50</x:v>
      </x:c>
      <x:c r="U133" s="41" t="n">
        <x:v>3</x:v>
      </x:c>
      <x:c r="V133" s="41" t="n">
        <x:v>20</x:v>
      </x:c>
      <x:c r="W133" s="49" t="n">
        <x:f>V133/100*'Assumptions'!$B$9</x:f>
        <x:v>0.06999999999999999</x:v>
      </x:c>
      <x:c r="X133" s="49" t="n">
        <x:f>MIN('Assumptions'!$B$11,V133/100*'Assumptions'!$B$10)</x:f>
        <x:v>0.15600000000000003</x:v>
      </x:c>
      <x:c r="Y133" s="41" t="n">
        <x:v>56</x:v>
      </x:c>
      <x:c r="Z133" s="41" t="n">
        <x:v>34</x:v>
      </x:c>
      <x:c r="AA133" s="50" t="n">
        <x:f>K133*O133*Q133</x:f>
        <x:v>5605.632</x:v>
      </x:c>
      <x:c r="AB133" s="50" t="n">
        <x:f>L133*O133*Q133</x:f>
        <x:v>10090.1376</x:v>
      </x:c>
      <x:c r="AC133" s="50" t="n">
        <x:f>M133*O133*Q133</x:f>
        <x:v>18218.304</x:v>
      </x:c>
      <x:c r="AD133" s="50" t="n">
        <x:f>AB133*N133</x:f>
        <x:v>80721.1008</x:v>
      </x:c>
      <x:c r="AE133" s="50" t="n">
        <x:f>MAX(0,N133*(AB133*W133-S133*O133-T133))</x:f>
        <x:v>0</x:v>
      </x:c>
      <x:c r="AF133" s="50" t="n">
        <x:f>MAX(0,N133*(AB133*X133-S133*O133-T133))</x:f>
        <x:v>0</x:v>
      </x:c>
      <x:c r="AG133" s="47" t="n">
        <x:f>(RANK.EQ(AD133,$AD$5:$AD$157,1)-1)/(COUNT($AD$5:$AD$157)-1)*100</x:f>
        <x:v>50</x:v>
      </x:c>
      <x:c r="AH133" s="47" t="n">
        <x:f>MAX(0,MIN(100,AG133*'Assumptions'!$B$5+V133*'Assumptions'!$B$6+Y133*'Assumptions'!$B$7+Z133*'Assumptions'!$B$8-(Q133-1)*'Assumptions'!$B$12))</x:f>
        <x:v>34.5</x:v>
      </x:c>
      <x:c r="AI133" s="51" t="str">
        <x:v>Low</x:v>
      </x:c>
      <x:c r="AJ133" s="51" t="str">
        <x:v>Professional desktop applications remain difficult for agents because state, files, and visual QA must stay synchronized.</x:v>
      </x:c>
      <x:c r="AK133" s="53" t="str">
        <x:f>IF(AND(AH133&gt;=75,V133&gt;=65,Z133&gt;=60),"Build now",IF(AND(AH133&gt;=60,V133&gt;=50),"Validate next",IF(AH133&gt;=50,"Partner or monitor","Deprioritize")))</x:f>
        <x:v>Deprioritize</x:v>
      </x:c>
      <x:c r="AL133" s="51" t="str">
        <x:v>Bounded agents can complete standard cases with mandatory review. Application control and visual QA are major blockers.</x:v>
      </x:c>
      <x:c r="AM133" s="51" t="str">
        <x:v>/Users/jaibhagat/code/prismml/agents-last-exam/tasks/engineering/mold-flow/task_card.json</x:v>
      </x:c>
    </x:row>
    <x:row r="134">
      <x:c r="A134" s="40" t="n">
        <x:f>COUNTIF($AH$5:$AH$157,"&gt;"&amp;AH134)+COUNTIF($AH$5:AH134,AH134)</x:f>
        <x:v>132</x:v>
      </x:c>
      <x:c r="B134" s="51" t="str">
        <x:v>business_finance/metabase_bi_dashboard_01</x:v>
      </x:c>
      <x:c r="C134" s="51" t="str">
        <x:v>Metabase BI Dashboard</x:v>
      </x:c>
      <x:c r="D134" s="51" t="str">
        <x:v>business_finance</x:v>
      </x:c>
      <x:c r="E134" s="51" t="str">
        <x:v>Enterprise Analytics &amp; Planning</x:v>
      </x:c>
      <x:c r="F134" s="51" t="str">
        <x:v>GUI and specialist application workflow</x:v>
      </x:c>
      <x:c r="G134" s="51" t="str">
        <x:v>Business or marketing analyst</x:v>
      </x:c>
      <x:c r="H134" s="51" t="str">
        <x:v>Management, business, and financial</x:v>
      </x:c>
      <x:c r="I134" s="52" t="n">
        <x:v>1.15</x:v>
      </x:c>
      <x:c r="J134" s="51" t="str">
        <x:v>Structured data artifact</x:v>
      </x:c>
      <x:c r="K134" s="43" t="n">
        <x:v>40</x:v>
      </x:c>
      <x:c r="L134" s="43" t="n">
        <x:v>72</x:v>
      </x:c>
      <x:c r="M134" s="43" t="n">
        <x:v>130</x:v>
      </x:c>
      <x:c r="N134" s="43" t="n">
        <x:v>8</x:v>
      </x:c>
      <x:c r="O134" s="44" t="n">
        <x:f>INDEX('Assumptions'!$B$24:$B$29,MATCH(H134,'Assumptions'!$A$24:$A$29,0))*I134</x:f>
        <x:v>100.84349999999999</x:v>
      </x:c>
      <x:c r="P134" s="41" t="str">
        <x:v>Medium</x:v>
      </x:c>
      <x:c r="Q134" s="45" t="n">
        <x:f>INDEX('Assumptions'!$B$18:$B$21,MATCH(P134,'Assumptions'!$A$18:$A$21,0))</x:f>
        <x:v>1.25</x:v>
      </x:c>
      <x:c r="R134" s="46" t="n">
        <x:v>0.18</x:v>
      </x:c>
      <x:c r="S134" s="47" t="n">
        <x:f>L134*R134</x:f>
        <x:v>12.959999999999999</x:v>
      </x:c>
      <x:c r="T134" s="48" t="n">
        <x:v>50</x:v>
      </x:c>
      <x:c r="U134" s="41" t="n">
        <x:v>3</x:v>
      </x:c>
      <x:c r="V134" s="41" t="n">
        <x:v>20</x:v>
      </x:c>
      <x:c r="W134" s="49" t="n">
        <x:f>V134/100*'Assumptions'!$B$9</x:f>
        <x:v>0.06999999999999999</x:v>
      </x:c>
      <x:c r="X134" s="49" t="n">
        <x:f>MIN('Assumptions'!$B$11,V134/100*'Assumptions'!$B$10)</x:f>
        <x:v>0.15600000000000003</x:v>
      </x:c>
      <x:c r="Y134" s="41" t="n">
        <x:v>48</x:v>
      </x:c>
      <x:c r="Z134" s="41" t="n">
        <x:v>37</x:v>
      </x:c>
      <x:c r="AA134" s="50" t="n">
        <x:f>K134*O134*Q134</x:f>
        <x:v>5042.174999999999</x:v>
      </x:c>
      <x:c r="AB134" s="50" t="n">
        <x:f>L134*O134*Q134</x:f>
        <x:v>9075.914999999999</x:v>
      </x:c>
      <x:c r="AC134" s="50" t="n">
        <x:f>M134*O134*Q134</x:f>
        <x:v>16387.06875</x:v>
      </x:c>
      <x:c r="AD134" s="50" t="n">
        <x:f>AB134*N134</x:f>
        <x:v>72607.31999999999</x:v>
      </x:c>
      <x:c r="AE134" s="50" t="n">
        <x:f>MAX(0,N134*(AB134*W134-S134*O134-T134))</x:f>
        <x:v>0</x:v>
      </x:c>
      <x:c r="AF134" s="50" t="n">
        <x:f>MAX(0,N134*(AB134*X134-S134*O134-T134))</x:f>
        <x:v>471.2878400000027</x:v>
      </x:c>
      <x:c r="AG134" s="47" t="n">
        <x:f>(RANK.EQ(AD134,$AD$5:$AD$157,1)-1)/(COUNT($AD$5:$AD$157)-1)*100</x:f>
        <x:v>40.131578947368425</x:v>
      </x:c>
      <x:c r="AH134" s="47" t="n">
        <x:f>MAX(0,MIN(100,AG134*'Assumptions'!$B$5+V134*'Assumptions'!$B$6+Y134*'Assumptions'!$B$7+Z134*'Assumptions'!$B$8-(Q134-1)*'Assumptions'!$B$12))</x:f>
        <x:v>33.43289473684211</x:v>
      </x:c>
      <x:c r="AI134" s="51" t="str">
        <x:v>Low</x:v>
      </x:c>
      <x:c r="AJ134" s="51" t="str">
        <x:v>Professional desktop applications remain difficult for agents because state, files, and visual QA must stay synchronized.</x:v>
      </x:c>
      <x:c r="AK134" s="53" t="str">
        <x:f>IF(AND(AH134&gt;=75,V134&gt;=65,Z134&gt;=60),"Build now",IF(AND(AH134&gt;=60,V134&gt;=50),"Validate next",IF(AH134&gt;=50,"Partner or monitor","Deprioritize")))</x:f>
        <x:v>Deprioritize</x:v>
      </x:c>
      <x:c r="AL134" s="51" t="str">
        <x:v>Bounded agents can complete standard cases with mandatory review. Application control and visual QA are major blockers.</x:v>
      </x:c>
      <x:c r="AM134" s="51" t="str">
        <x:v>/Users/jaibhagat/code/prismml/agents-last-exam/tasks/business_finance/metabase_bi_dashboard_01/task_card.json</x:v>
      </x:c>
    </x:row>
    <x:row r="135">
      <x:c r="A135" s="40" t="n">
        <x:f>COUNTIF($AH$5:$AH$157,"&gt;"&amp;AH135)+COUNTIF($AH$5:AH135,AH135)</x:f>
        <x:v>133</x:v>
      </x:c>
      <x:c r="B135" s="51" t="str">
        <x:v>visual_media/inkscape_cultural_poster_design</x:v>
      </x:c>
      <x:c r="C135" s="51" t="str">
        <x:v>Inkscape Cultural Poster Design</x:v>
      </x:c>
      <x:c r="D135" s="51" t="str">
        <x:v>visual_media</x:v>
      </x:c>
      <x:c r="E135" s="51" t="str">
        <x:v>Graphic, Visual &amp; Product Design</x:v>
      </x:c>
      <x:c r="F135" s="51" t="str">
        <x:v>GUI and specialist application workflow</x:v>
      </x:c>
      <x:c r="G135" s="51" t="str">
        <x:v>Designer, animator, or media specialist</x:v>
      </x:c>
      <x:c r="H135" s="51" t="str">
        <x:v>Professional and related</x:v>
      </x:c>
      <x:c r="I135" s="52" t="n">
        <x:v>1</x:v>
      </x:c>
      <x:c r="J135" s="51" t="str">
        <x:v>GUI-created professional artifact</x:v>
      </x:c>
      <x:c r="K135" s="43" t="n">
        <x:v>40</x:v>
      </x:c>
      <x:c r="L135" s="43" t="n">
        <x:v>72</x:v>
      </x:c>
      <x:c r="M135" s="43" t="n">
        <x:v>130</x:v>
      </x:c>
      <x:c r="N135" s="43" t="n">
        <x:v>8</x:v>
      </x:c>
      <x:c r="O135" s="44" t="n">
        <x:f>INDEX('Assumptions'!$B$24:$B$29,MATCH(H135,'Assumptions'!$A$24:$A$29,0))*I135</x:f>
        <x:v>72.99</x:v>
      </x:c>
      <x:c r="P135" s="41" t="str">
        <x:v>Low</x:v>
      </x:c>
      <x:c r="Q135" s="45" t="n">
        <x:f>INDEX('Assumptions'!$B$18:$B$21,MATCH(P135,'Assumptions'!$A$18:$A$21,0))</x:f>
        <x:v>1</x:v>
      </x:c>
      <x:c r="R135" s="46" t="n">
        <x:v>0.1</x:v>
      </x:c>
      <x:c r="S135" s="47" t="n">
        <x:f>L135*R135</x:f>
        <x:v>7.2</x:v>
      </x:c>
      <x:c r="T135" s="48" t="n">
        <x:v>50</x:v>
      </x:c>
      <x:c r="U135" s="41" t="n">
        <x:v>3</x:v>
      </x:c>
      <x:c r="V135" s="41" t="n">
        <x:v>24</x:v>
      </x:c>
      <x:c r="W135" s="49" t="n">
        <x:f>V135/100*'Assumptions'!$B$9</x:f>
        <x:v>0.08399999999999999</x:v>
      </x:c>
      <x:c r="X135" s="49" t="n">
        <x:f>MIN('Assumptions'!$B$11,V135/100*'Assumptions'!$B$10)</x:f>
        <x:v>0.1872</x:v>
      </x:c>
      <x:c r="Y135" s="41" t="n">
        <x:v>64</x:v>
      </x:c>
      <x:c r="Z135" s="41" t="n">
        <x:v>42</x:v>
      </x:c>
      <x:c r="AA135" s="50" t="n">
        <x:f>K135*O135*Q135</x:f>
        <x:v>2919.6</x:v>
      </x:c>
      <x:c r="AB135" s="50" t="n">
        <x:f>L135*O135*Q135</x:f>
        <x:v>5255.28</x:v>
      </x:c>
      <x:c r="AC135" s="50" t="n">
        <x:f>M135*O135*Q135</x:f>
        <x:v>9488.699999999999</x:v>
      </x:c>
      <x:c r="AD135" s="50" t="n">
        <x:f>AB135*N135</x:f>
        <x:v>42042.24</x:v>
      </x:c>
      <x:c r="AE135" s="50" t="n">
        <x:f>MAX(0,N135*(AB135*W135-S135*O135-T135))</x:f>
        <x:v>0</x:v>
      </x:c>
      <x:c r="AF135" s="50" t="n">
        <x:f>MAX(0,N135*(AB135*X135-S135*O135-T135))</x:f>
        <x:v>3266.0833279999997</x:v>
      </x:c>
      <x:c r="AG135" s="47" t="n">
        <x:f>(RANK.EQ(AD135,$AD$5:$AD$157,1)-1)/(COUNT($AD$5:$AD$157)-1)*100</x:f>
        <x:v>5.921052631578947</x:v>
      </x:c>
      <x:c r="AH135" s="47" t="n">
        <x:f>MAX(0,MIN(100,AG135*'Assumptions'!$B$5+V135*'Assumptions'!$B$6+Y135*'Assumptions'!$B$7+Z135*'Assumptions'!$B$8-(Q135-1)*'Assumptions'!$B$12))</x:f>
        <x:v>33.080263157894734</x:v>
      </x:c>
      <x:c r="AI135" s="51" t="str">
        <x:v>Low</x:v>
      </x:c>
      <x:c r="AJ135" s="51" t="str">
        <x:v>Professional desktop applications remain difficult for agents because state, files, and visual QA must stay synchronized.</x:v>
      </x:c>
      <x:c r="AK135" s="53" t="str">
        <x:f>IF(AND(AH135&gt;=75,V135&gt;=65,Z135&gt;=60),"Build now",IF(AND(AH135&gt;=60,V135&gt;=50),"Validate next",IF(AH135&gt;=50,"Partner or monitor","Deprioritize")))</x:f>
        <x:v>Deprioritize</x:v>
      </x:c>
      <x:c r="AL135" s="51" t="str">
        <x:v>Bounded agents can complete standard cases with mandatory review. Application control and visual QA are major blockers.</x:v>
      </x:c>
      <x:c r="AM135" s="51" t="str">
        <x:v>/Users/jaibhagat/code/prismml/agents-last-exam/tasks/visual_media/inkscape_cultural_poster_design/task_card.json</x:v>
      </x:c>
    </x:row>
    <x:row r="136">
      <x:c r="A136" s="40" t="n">
        <x:f>COUNTIF($AH$5:$AH$157,"&gt;"&amp;AH136)+COUNTIF($AH$5:AH136,AH136)</x:f>
        <x:v>130</x:v>
      </x:c>
      <x:c r="B136" s="51" t="str">
        <x:v>engineering/2d_drawings_to_3d_building_model</x:v>
      </x:c>
      <x:c r="C136" s="51" t="str">
        <x:v>Betonwerk Katzenberger 3D Model</x:v>
      </x:c>
      <x:c r="D136" s="51" t="str">
        <x:v>engineering</x:v>
      </x:c>
      <x:c r="E136" s="51" t="str">
        <x:v>Civil, Architectural &amp; Geospatial Engineering</x:v>
      </x:c>
      <x:c r="F136" s="51" t="str">
        <x:v>GUI and specialist application workflow</x:v>
      </x:c>
      <x:c r="G136" s="51" t="str">
        <x:v>Specialist engineer</x:v>
      </x:c>
      <x:c r="H136" s="51" t="str">
        <x:v>Professional and related</x:v>
      </x:c>
      <x:c r="I136" s="52" t="n">
        <x:v>1.2</x:v>
      </x:c>
      <x:c r="J136" s="51" t="str">
        <x:v>Structured data artifact</x:v>
      </x:c>
      <x:c r="K136" s="43" t="n">
        <x:v>40</x:v>
      </x:c>
      <x:c r="L136" s="43" t="n">
        <x:v>72</x:v>
      </x:c>
      <x:c r="M136" s="43" t="n">
        <x:v>130</x:v>
      </x:c>
      <x:c r="N136" s="43" t="n">
        <x:v>8</x:v>
      </x:c>
      <x:c r="O136" s="44" t="n">
        <x:f>INDEX('Assumptions'!$B$24:$B$29,MATCH(H136,'Assumptions'!$A$24:$A$29,0))*I136</x:f>
        <x:v>87.588</x:v>
      </x:c>
      <x:c r="P136" s="41" t="str">
        <x:v>High</x:v>
      </x:c>
      <x:c r="Q136" s="45" t="n">
        <x:f>INDEX('Assumptions'!$B$18:$B$21,MATCH(P136,'Assumptions'!$A$18:$A$21,0))</x:f>
        <x:v>1.6</x:v>
      </x:c>
      <x:c r="R136" s="46" t="n">
        <x:v>0.28</x:v>
      </x:c>
      <x:c r="S136" s="47" t="n">
        <x:f>L136*R136</x:f>
        <x:v>20.160000000000004</x:v>
      </x:c>
      <x:c r="T136" s="48" t="n">
        <x:v>50</x:v>
      </x:c>
      <x:c r="U136" s="41" t="n">
        <x:v>3</x:v>
      </x:c>
      <x:c r="V136" s="41" t="n">
        <x:v>20</x:v>
      </x:c>
      <x:c r="W136" s="49" t="n">
        <x:f>V136/100*'Assumptions'!$B$9</x:f>
        <x:v>0.06999999999999999</x:v>
      </x:c>
      <x:c r="X136" s="49" t="n">
        <x:f>MIN('Assumptions'!$B$11,V136/100*'Assumptions'!$B$10)</x:f>
        <x:v>0.15600000000000003</x:v>
      </x:c>
      <x:c r="Y136" s="41" t="n">
        <x:v>56</x:v>
      </x:c>
      <x:c r="Z136" s="41" t="n">
        <x:v>29</x:v>
      </x:c>
      <x:c r="AA136" s="50" t="n">
        <x:f>K136*O136*Q136</x:f>
        <x:v>5605.632</x:v>
      </x:c>
      <x:c r="AB136" s="50" t="n">
        <x:f>L136*O136*Q136</x:f>
        <x:v>10090.1376</x:v>
      </x:c>
      <x:c r="AC136" s="50" t="n">
        <x:f>M136*O136*Q136</x:f>
        <x:v>18218.304</x:v>
      </x:c>
      <x:c r="AD136" s="50" t="n">
        <x:f>AB136*N136</x:f>
        <x:v>80721.1008</x:v>
      </x:c>
      <x:c r="AE136" s="50" t="n">
        <x:f>MAX(0,N136*(AB136*W136-S136*O136-T136))</x:f>
        <x:v>0</x:v>
      </x:c>
      <x:c r="AF136" s="50" t="n">
        <x:f>MAX(0,N136*(AB136*X136-S136*O136-T136))</x:f>
        <x:v>0</x:v>
      </x:c>
      <x:c r="AG136" s="47" t="n">
        <x:f>(RANK.EQ(AD136,$AD$5:$AD$157,1)-1)/(COUNT($AD$5:$AD$157)-1)*100</x:f>
        <x:v>50</x:v>
      </x:c>
      <x:c r="AH136" s="47" t="n">
        <x:f>MAX(0,MIN(100,AG136*'Assumptions'!$B$5+V136*'Assumptions'!$B$6+Y136*'Assumptions'!$B$7+Z136*'Assumptions'!$B$8-(Q136-1)*'Assumptions'!$B$12))</x:f>
        <x:v>33.5</x:v>
      </x:c>
      <x:c r="AI136" s="51" t="str">
        <x:v>Low</x:v>
      </x:c>
      <x:c r="AJ136" s="51" t="str">
        <x:v>Professional desktop applications remain difficult for agents because state, files, and visual QA must stay synchronized.</x:v>
      </x:c>
      <x:c r="AK136" s="53" t="str">
        <x:f>IF(AND(AH136&gt;=75,V136&gt;=65,Z136&gt;=60),"Build now",IF(AND(AH136&gt;=60,V136&gt;=50),"Validate next",IF(AH136&gt;=50,"Partner or monitor","Deprioritize")))</x:f>
        <x:v>Deprioritize</x:v>
      </x:c>
      <x:c r="AL136" s="51" t="str">
        <x:v>Bounded agents can complete standard cases with mandatory review. Application control and visual QA are major blockers.</x:v>
      </x:c>
      <x:c r="AM136" s="51" t="str">
        <x:v>/Users/jaibhagat/code/prismml/agents-last-exam/tasks/engineering/2d_drawings_to_3d_building_model/task_card.json</x:v>
      </x:c>
    </x:row>
    <x:row r="137">
      <x:c r="A137" s="40" t="n">
        <x:f>COUNTIF($AH$5:$AH$157,"&gt;"&amp;AH137)+COUNTIF($AH$5:AH137,AH137)</x:f>
        <x:v>131</x:v>
      </x:c>
      <x:c r="B137" s="51" t="str">
        <x:v>engineering/2d_drawings_to_3d_bridge_model</x:v>
      </x:c>
      <x:c r="C137" s="51" t="str">
        <x:v>Bridge The Gap — Bridge + Site 3D Model</x:v>
      </x:c>
      <x:c r="D137" s="51" t="str">
        <x:v>engineering</x:v>
      </x:c>
      <x:c r="E137" s="51" t="str">
        <x:v>Civil, Architectural &amp; Geospatial Engineering</x:v>
      </x:c>
      <x:c r="F137" s="51" t="str">
        <x:v>GUI and specialist application workflow</x:v>
      </x:c>
      <x:c r="G137" s="51" t="str">
        <x:v>Specialist engineer</x:v>
      </x:c>
      <x:c r="H137" s="51" t="str">
        <x:v>Professional and related</x:v>
      </x:c>
      <x:c r="I137" s="52" t="n">
        <x:v>1.2</x:v>
      </x:c>
      <x:c r="J137" s="51" t="str">
        <x:v>Structured data artifact</x:v>
      </x:c>
      <x:c r="K137" s="43" t="n">
        <x:v>40</x:v>
      </x:c>
      <x:c r="L137" s="43" t="n">
        <x:v>72</x:v>
      </x:c>
      <x:c r="M137" s="43" t="n">
        <x:v>130</x:v>
      </x:c>
      <x:c r="N137" s="43" t="n">
        <x:v>8</x:v>
      </x:c>
      <x:c r="O137" s="44" t="n">
        <x:f>INDEX('Assumptions'!$B$24:$B$29,MATCH(H137,'Assumptions'!$A$24:$A$29,0))*I137</x:f>
        <x:v>87.588</x:v>
      </x:c>
      <x:c r="P137" s="41" t="str">
        <x:v>High</x:v>
      </x:c>
      <x:c r="Q137" s="45" t="n">
        <x:f>INDEX('Assumptions'!$B$18:$B$21,MATCH(P137,'Assumptions'!$A$18:$A$21,0))</x:f>
        <x:v>1.6</x:v>
      </x:c>
      <x:c r="R137" s="46" t="n">
        <x:v>0.28</x:v>
      </x:c>
      <x:c r="S137" s="47" t="n">
        <x:f>L137*R137</x:f>
        <x:v>20.160000000000004</x:v>
      </x:c>
      <x:c r="T137" s="48" t="n">
        <x:v>50</x:v>
      </x:c>
      <x:c r="U137" s="41" t="n">
        <x:v>3</x:v>
      </x:c>
      <x:c r="V137" s="41" t="n">
        <x:v>20</x:v>
      </x:c>
      <x:c r="W137" s="49" t="n">
        <x:f>V137/100*'Assumptions'!$B$9</x:f>
        <x:v>0.06999999999999999</x:v>
      </x:c>
      <x:c r="X137" s="49" t="n">
        <x:f>MIN('Assumptions'!$B$11,V137/100*'Assumptions'!$B$10)</x:f>
        <x:v>0.15600000000000003</x:v>
      </x:c>
      <x:c r="Y137" s="41" t="n">
        <x:v>56</x:v>
      </x:c>
      <x:c r="Z137" s="41" t="n">
        <x:v>29</x:v>
      </x:c>
      <x:c r="AA137" s="50" t="n">
        <x:f>K137*O137*Q137</x:f>
        <x:v>5605.632</x:v>
      </x:c>
      <x:c r="AB137" s="50" t="n">
        <x:f>L137*O137*Q137</x:f>
        <x:v>10090.1376</x:v>
      </x:c>
      <x:c r="AC137" s="50" t="n">
        <x:f>M137*O137*Q137</x:f>
        <x:v>18218.304</x:v>
      </x:c>
      <x:c r="AD137" s="50" t="n">
        <x:f>AB137*N137</x:f>
        <x:v>80721.1008</x:v>
      </x:c>
      <x:c r="AE137" s="50" t="n">
        <x:f>MAX(0,N137*(AB137*W137-S137*O137-T137))</x:f>
        <x:v>0</x:v>
      </x:c>
      <x:c r="AF137" s="50" t="n">
        <x:f>MAX(0,N137*(AB137*X137-S137*O137-T137))</x:f>
        <x:v>0</x:v>
      </x:c>
      <x:c r="AG137" s="47" t="n">
        <x:f>(RANK.EQ(AD137,$AD$5:$AD$157,1)-1)/(COUNT($AD$5:$AD$157)-1)*100</x:f>
        <x:v>50</x:v>
      </x:c>
      <x:c r="AH137" s="47" t="n">
        <x:f>MAX(0,MIN(100,AG137*'Assumptions'!$B$5+V137*'Assumptions'!$B$6+Y137*'Assumptions'!$B$7+Z137*'Assumptions'!$B$8-(Q137-1)*'Assumptions'!$B$12))</x:f>
        <x:v>33.5</x:v>
      </x:c>
      <x:c r="AI137" s="51" t="str">
        <x:v>Low</x:v>
      </x:c>
      <x:c r="AJ137" s="51" t="str">
        <x:v>Professional desktop applications remain difficult for agents because state, files, and visual QA must stay synchronized.</x:v>
      </x:c>
      <x:c r="AK137" s="53" t="str">
        <x:f>IF(AND(AH137&gt;=75,V137&gt;=65,Z137&gt;=60),"Build now",IF(AND(AH137&gt;=60,V137&gt;=50),"Validate next",IF(AH137&gt;=50,"Partner or monitor","Deprioritize")))</x:f>
        <x:v>Deprioritize</x:v>
      </x:c>
      <x:c r="AL137" s="51" t="str">
        <x:v>Bounded agents can complete standard cases with mandatory review. Application control and visual QA are major blockers.</x:v>
      </x:c>
      <x:c r="AM137" s="51" t="str">
        <x:v>/Users/jaibhagat/code/prismml/agents-last-exam/tasks/engineering/2d_drawings_to_3d_bridge_model/task_card.json</x:v>
      </x:c>
    </x:row>
    <x:row r="138">
      <x:c r="A138" s="40" t="n">
        <x:f>COUNTIF($AH$5:$AH$157,"&gt;"&amp;AH138)+COUNTIF($AH$5:AH138,AH138)</x:f>
        <x:v>134</x:v>
      </x:c>
      <x:c r="B138" s="51" t="str">
        <x:v>engineering/inner_support_elevation_optimization</x:v>
      </x:c>
      <x:c r="C138" s="51" t="str">
        <x:v>Inner Support Elevation Optimization</x:v>
      </x:c>
      <x:c r="D138" s="51" t="str">
        <x:v>engineering</x:v>
      </x:c>
      <x:c r="E138" s="51" t="str">
        <x:v>Civil, Architectural &amp; Geospatial Engineering</x:v>
      </x:c>
      <x:c r="F138" s="51" t="str">
        <x:v>GUI and specialist application workflow</x:v>
      </x:c>
      <x:c r="G138" s="51" t="str">
        <x:v>Specialist engineer</x:v>
      </x:c>
      <x:c r="H138" s="51" t="str">
        <x:v>Professional and related</x:v>
      </x:c>
      <x:c r="I138" s="52" t="n">
        <x:v>1.2</x:v>
      </x:c>
      <x:c r="J138" s="51" t="str">
        <x:v>Structured data artifact</x:v>
      </x:c>
      <x:c r="K138" s="43" t="n">
        <x:v>40</x:v>
      </x:c>
      <x:c r="L138" s="43" t="n">
        <x:v>72</x:v>
      </x:c>
      <x:c r="M138" s="43" t="n">
        <x:v>130</x:v>
      </x:c>
      <x:c r="N138" s="43" t="n">
        <x:v>8</x:v>
      </x:c>
      <x:c r="O138" s="44" t="n">
        <x:f>INDEX('Assumptions'!$B$24:$B$29,MATCH(H138,'Assumptions'!$A$24:$A$29,0))*I138</x:f>
        <x:v>87.588</x:v>
      </x:c>
      <x:c r="P138" s="41" t="str">
        <x:v>Critical</x:v>
      </x:c>
      <x:c r="Q138" s="45" t="n">
        <x:f>INDEX('Assumptions'!$B$18:$B$21,MATCH(P138,'Assumptions'!$A$18:$A$21,0))</x:f>
        <x:v>2.2</x:v>
      </x:c>
      <x:c r="R138" s="46" t="n">
        <x:v>0.4</x:v>
      </x:c>
      <x:c r="S138" s="47" t="n">
        <x:f>L138*R138</x:f>
        <x:v>28.8</x:v>
      </x:c>
      <x:c r="T138" s="48" t="n">
        <x:v>50</x:v>
      </x:c>
      <x:c r="U138" s="41" t="n">
        <x:v>2</x:v>
      </x:c>
      <x:c r="V138" s="41" t="n">
        <x:v>17</x:v>
      </x:c>
      <x:c r="W138" s="49" t="n">
        <x:f>V138/100*'Assumptions'!$B$9</x:f>
        <x:v>0.0595</x:v>
      </x:c>
      <x:c r="X138" s="49" t="n">
        <x:f>MIN('Assumptions'!$B$11,V138/100*'Assumptions'!$B$10)</x:f>
        <x:v>0.13260000000000002</x:v>
      </x:c>
      <x:c r="Y138" s="41" t="n">
        <x:v>56</x:v>
      </x:c>
      <x:c r="Z138" s="41" t="n">
        <x:v>22</x:v>
      </x:c>
      <x:c r="AA138" s="50" t="n">
        <x:f>K138*O138*Q138</x:f>
        <x:v>7707.744</x:v>
      </x:c>
      <x:c r="AB138" s="50" t="n">
        <x:f>L138*O138*Q138</x:f>
        <x:v>13873.939199999999</x:v>
      </x:c>
      <x:c r="AC138" s="50" t="n">
        <x:f>M138*O138*Q138</x:f>
        <x:v>25050.167999999998</x:v>
      </x:c>
      <x:c r="AD138" s="50" t="n">
        <x:f>AB138*N138</x:f>
        <x:v>110991.51359999999</x:v>
      </x:c>
      <x:c r="AE138" s="50" t="n">
        <x:f>MAX(0,N138*(AB138*W138-S138*O138-T138))</x:f>
        <x:v>0</x:v>
      </x:c>
      <x:c r="AF138" s="50" t="n">
        <x:f>MAX(0,N138*(AB138*X138-S138*O138-T138))</x:f>
        <x:v>0</x:v>
      </x:c>
      <x:c r="AG138" s="47" t="n">
        <x:f>(RANK.EQ(AD138,$AD$5:$AD$157,1)-1)/(COUNT($AD$5:$AD$157)-1)*100</x:f>
        <x:v>69.73684210526315</x:v>
      </x:c>
      <x:c r="AH138" s="47" t="n">
        <x:f>MAX(0,MIN(100,AG138*'Assumptions'!$B$5+V138*'Assumptions'!$B$6+Y138*'Assumptions'!$B$7+Z138*'Assumptions'!$B$8-(Q138-1)*'Assumptions'!$B$12))</x:f>
        <x:v>31.334210526315786</x:v>
      </x:c>
      <x:c r="AI138" s="51" t="str">
        <x:v>Low</x:v>
      </x:c>
      <x:c r="AJ138" s="51" t="str">
        <x:v>Professional desktop applications remain difficult for agents because state, files, and visual QA must stay synchronized.</x:v>
      </x:c>
      <x:c r="AK138" s="53" t="str">
        <x:f>IF(AND(AH138&gt;=75,V138&gt;=65,Z138&gt;=60),"Build now",IF(AND(AH138&gt;=60,V138&gt;=50),"Validate next",IF(AH138&gt;=50,"Partner or monitor","Deprioritize")))</x:f>
        <x:v>Deprioritize</x:v>
      </x:c>
      <x:c r="AL138" s="51" t="str">
        <x:v>Useful copilot for parts of the workflow; close supervision is required. Accountable professional signoff remains necessary. Application control and visual QA are major blockers.</x:v>
      </x:c>
      <x:c r="AM138" s="51" t="str">
        <x:v>/Users/jaibhagat/code/prismml/agents-last-exam/tasks/engineering/inner_support_elevation_optimization/task_card.json</x:v>
      </x:c>
    </x:row>
    <x:row r="139">
      <x:c r="A139" s="40" t="n">
        <x:f>COUNTIF($AH$5:$AH$157,"&gt;"&amp;AH139)+COUNTIF($AH$5:AH139,AH139)</x:f>
        <x:v>135</x:v>
      </x:c>
      <x:c r="B139" s="51" t="str">
        <x:v>visual_media/blender_character_reconstruction_from_multiview_01</x:v>
      </x:c>
      <x:c r="C139" s="51" t="str">
        <x:v>Blender Character Reconstruction From Multiview</x:v>
      </x:c>
      <x:c r="D139" s="51" t="str">
        <x:v>visual_media</x:v>
      </x:c>
      <x:c r="E139" s="51" t="str">
        <x:v>3D, Animation &amp; Interactive Media</x:v>
      </x:c>
      <x:c r="F139" s="51" t="str">
        <x:v>GUI and specialist application workflow</x:v>
      </x:c>
      <x:c r="G139" s="51" t="str">
        <x:v>Designer, animator, or media specialist</x:v>
      </x:c>
      <x:c r="H139" s="51" t="str">
        <x:v>Professional and related</x:v>
      </x:c>
      <x:c r="I139" s="52" t="n">
        <x:v>1</x:v>
      </x:c>
      <x:c r="J139" s="51" t="str">
        <x:v>Structured data artifact</x:v>
      </x:c>
      <x:c r="K139" s="43" t="n">
        <x:v>40</x:v>
      </x:c>
      <x:c r="L139" s="43" t="n">
        <x:v>72</x:v>
      </x:c>
      <x:c r="M139" s="43" t="n">
        <x:v>130</x:v>
      </x:c>
      <x:c r="N139" s="43" t="n">
        <x:v>8</x:v>
      </x:c>
      <x:c r="O139" s="44" t="n">
        <x:f>INDEX('Assumptions'!$B$24:$B$29,MATCH(H139,'Assumptions'!$A$24:$A$29,0))*I139</x:f>
        <x:v>72.99</x:v>
      </x:c>
      <x:c r="P139" s="41" t="str">
        <x:v>Low</x:v>
      </x:c>
      <x:c r="Q139" s="45" t="n">
        <x:f>INDEX('Assumptions'!$B$18:$B$21,MATCH(P139,'Assumptions'!$A$18:$A$21,0))</x:f>
        <x:v>1</x:v>
      </x:c>
      <x:c r="R139" s="46" t="n">
        <x:v>0.1</x:v>
      </x:c>
      <x:c r="S139" s="47" t="n">
        <x:f>L139*R139</x:f>
        <x:v>7.2</x:v>
      </x:c>
      <x:c r="T139" s="48" t="n">
        <x:v>50</x:v>
      </x:c>
      <x:c r="U139" s="41" t="n">
        <x:v>3</x:v>
      </x:c>
      <x:c r="V139" s="41" t="n">
        <x:v>20</x:v>
      </x:c>
      <x:c r="W139" s="49" t="n">
        <x:f>V139/100*'Assumptions'!$B$9</x:f>
        <x:v>0.06999999999999999</x:v>
      </x:c>
      <x:c r="X139" s="49" t="n">
        <x:f>MIN('Assumptions'!$B$11,V139/100*'Assumptions'!$B$10)</x:f>
        <x:v>0.15600000000000003</x:v>
      </x:c>
      <x:c r="Y139" s="41" t="n">
        <x:v>56</x:v>
      </x:c>
      <x:c r="Z139" s="41" t="n">
        <x:v>42</x:v>
      </x:c>
      <x:c r="AA139" s="50" t="n">
        <x:f>K139*O139*Q139</x:f>
        <x:v>2919.6</x:v>
      </x:c>
      <x:c r="AB139" s="50" t="n">
        <x:f>L139*O139*Q139</x:f>
        <x:v>5255.28</x:v>
      </x:c>
      <x:c r="AC139" s="50" t="n">
        <x:f>M139*O139*Q139</x:f>
        <x:v>9488.699999999999</x:v>
      </x:c>
      <x:c r="AD139" s="50" t="n">
        <x:f>AB139*N139</x:f>
        <x:v>42042.24</x:v>
      </x:c>
      <x:c r="AE139" s="50" t="n">
        <x:f>MAX(0,N139*(AB139*W139-S139*O139-T139))</x:f>
        <x:v>0</x:v>
      </x:c>
      <x:c r="AF139" s="50" t="n">
        <x:f>MAX(0,N139*(AB139*X139-S139*O139-T139))</x:f>
        <x:v>1954.3654400000005</x:v>
      </x:c>
      <x:c r="AG139" s="47" t="n">
        <x:f>(RANK.EQ(AD139,$AD$5:$AD$157,1)-1)/(COUNT($AD$5:$AD$157)-1)*100</x:f>
        <x:v>5.921052631578947</x:v>
      </x:c>
      <x:c r="AH139" s="47" t="n">
        <x:f>MAX(0,MIN(100,AG139*'Assumptions'!$B$5+V139*'Assumptions'!$B$6+Y139*'Assumptions'!$B$7+Z139*'Assumptions'!$B$8-(Q139-1)*'Assumptions'!$B$12))</x:f>
        <x:v>29.88026315789474</x:v>
      </x:c>
      <x:c r="AI139" s="51" t="str">
        <x:v>Low</x:v>
      </x:c>
      <x:c r="AJ139" s="51" t="str">
        <x:v>Professional desktop applications remain difficult for agents because state, files, and visual QA must stay synchronized.</x:v>
      </x:c>
      <x:c r="AK139" s="53" t="str">
        <x:f>IF(AND(AH139&gt;=75,V139&gt;=65,Z139&gt;=60),"Build now",IF(AND(AH139&gt;=60,V139&gt;=50),"Validate next",IF(AH139&gt;=50,"Partner or monitor","Deprioritize")))</x:f>
        <x:v>Deprioritize</x:v>
      </x:c>
      <x:c r="AL139" s="51" t="str">
        <x:v>Bounded agents can complete standard cases with mandatory review. Application control and visual QA are major blockers.</x:v>
      </x:c>
      <x:c r="AM139" s="51" t="str">
        <x:v>/Users/jaibhagat/code/prismml/agents-last-exam/tasks/visual_media/blender_character_reconstruction_from_multiview_01/task_card.json</x:v>
      </x:c>
    </x:row>
    <x:row r="140">
      <x:c r="A140" s="40" t="n">
        <x:f>COUNTIF($AH$5:$AH$157,"&gt;"&amp;AH140)+COUNTIF($AH$5:AH140,AH140)</x:f>
        <x:v>138</x:v>
      </x:c>
      <x:c r="B140" s="51" t="str">
        <x:v>visual_media/music_transcription</x:v>
      </x:c>
      <x:c r="C140" s="51" t="str">
        <x:v>Music Transcription</x:v>
      </x:c>
      <x:c r="D140" s="51" t="str">
        <x:v>visual_media</x:v>
      </x:c>
      <x:c r="E140" s="51" t="str">
        <x:v>Audio, Music &amp; Post-Production Media</x:v>
      </x:c>
      <x:c r="F140" s="51" t="str">
        <x:v>GUI and specialist application workflow</x:v>
      </x:c>
      <x:c r="G140" s="51" t="str">
        <x:v>Designer, animator, or media specialist</x:v>
      </x:c>
      <x:c r="H140" s="51" t="str">
        <x:v>Professional and related</x:v>
      </x:c>
      <x:c r="I140" s="52" t="n">
        <x:v>1</x:v>
      </x:c>
      <x:c r="J140" s="51" t="str">
        <x:v>Structured data artifact</x:v>
      </x:c>
      <x:c r="K140" s="43" t="n">
        <x:v>40</x:v>
      </x:c>
      <x:c r="L140" s="43" t="n">
        <x:v>72</x:v>
      </x:c>
      <x:c r="M140" s="43" t="n">
        <x:v>130</x:v>
      </x:c>
      <x:c r="N140" s="43" t="n">
        <x:v>8</x:v>
      </x:c>
      <x:c r="O140" s="44" t="n">
        <x:f>INDEX('Assumptions'!$B$24:$B$29,MATCH(H140,'Assumptions'!$A$24:$A$29,0))*I140</x:f>
        <x:v>72.99</x:v>
      </x:c>
      <x:c r="P140" s="41" t="str">
        <x:v>Low</x:v>
      </x:c>
      <x:c r="Q140" s="45" t="n">
        <x:f>INDEX('Assumptions'!$B$18:$B$21,MATCH(P140,'Assumptions'!$A$18:$A$21,0))</x:f>
        <x:v>1</x:v>
      </x:c>
      <x:c r="R140" s="46" t="n">
        <x:v>0.1</x:v>
      </x:c>
      <x:c r="S140" s="47" t="n">
        <x:f>L140*R140</x:f>
        <x:v>7.2</x:v>
      </x:c>
      <x:c r="T140" s="48" t="n">
        <x:v>50</x:v>
      </x:c>
      <x:c r="U140" s="41" t="n">
        <x:v>3</x:v>
      </x:c>
      <x:c r="V140" s="41" t="n">
        <x:v>20</x:v>
      </x:c>
      <x:c r="W140" s="49" t="n">
        <x:f>V140/100*'Assumptions'!$B$9</x:f>
        <x:v>0.06999999999999999</x:v>
      </x:c>
      <x:c r="X140" s="49" t="n">
        <x:f>MIN('Assumptions'!$B$11,V140/100*'Assumptions'!$B$10)</x:f>
        <x:v>0.15600000000000003</x:v>
      </x:c>
      <x:c r="Y140" s="41" t="n">
        <x:v>56</x:v>
      </x:c>
      <x:c r="Z140" s="41" t="n">
        <x:v>37</x:v>
      </x:c>
      <x:c r="AA140" s="50" t="n">
        <x:f>K140*O140*Q140</x:f>
        <x:v>2919.6</x:v>
      </x:c>
      <x:c r="AB140" s="50" t="n">
        <x:f>L140*O140*Q140</x:f>
        <x:v>5255.28</x:v>
      </x:c>
      <x:c r="AC140" s="50" t="n">
        <x:f>M140*O140*Q140</x:f>
        <x:v>9488.699999999999</x:v>
      </x:c>
      <x:c r="AD140" s="50" t="n">
        <x:f>AB140*N140</x:f>
        <x:v>42042.24</x:v>
      </x:c>
      <x:c r="AE140" s="50" t="n">
        <x:f>MAX(0,N140*(AB140*W140-S140*O140-T140))</x:f>
        <x:v>0</x:v>
      </x:c>
      <x:c r="AF140" s="50" t="n">
        <x:f>MAX(0,N140*(AB140*X140-S140*O140-T140))</x:f>
        <x:v>1954.3654400000005</x:v>
      </x:c>
      <x:c r="AG140" s="47" t="n">
        <x:f>(RANK.EQ(AD140,$AD$5:$AD$157,1)-1)/(COUNT($AD$5:$AD$157)-1)*100</x:f>
        <x:v>5.921052631578947</x:v>
      </x:c>
      <x:c r="AH140" s="47" t="n">
        <x:f>MAX(0,MIN(100,AG140*'Assumptions'!$B$5+V140*'Assumptions'!$B$6+Y140*'Assumptions'!$B$7+Z140*'Assumptions'!$B$8-(Q140-1)*'Assumptions'!$B$12))</x:f>
        <x:v>28.88026315789474</x:v>
      </x:c>
      <x:c r="AI140" s="51" t="str">
        <x:v>Low</x:v>
      </x:c>
      <x:c r="AJ140" s="51" t="str">
        <x:v>Professional desktop applications remain difficult for agents because state, files, and visual QA must stay synchronized.</x:v>
      </x:c>
      <x:c r="AK140" s="53" t="str">
        <x:f>IF(AND(AH140&gt;=75,V140&gt;=65,Z140&gt;=60),"Build now",IF(AND(AH140&gt;=60,V140&gt;=50),"Validate next",IF(AH140&gt;=50,"Partner or monitor","Deprioritize")))</x:f>
        <x:v>Deprioritize</x:v>
      </x:c>
      <x:c r="AL140" s="51" t="str">
        <x:v>Bounded agents can complete standard cases with mandatory review. Application control and visual QA are major blockers.</x:v>
      </x:c>
      <x:c r="AM140" s="51" t="str">
        <x:v>/Users/jaibhagat/code/prismml/agents-last-exam/tasks/visual_media/music_transcription/task_card.json</x:v>
      </x:c>
    </x:row>
    <x:row r="141">
      <x:c r="A141" s="40" t="n">
        <x:f>COUNTIF($AH$5:$AH$157,"&gt;"&amp;AH141)+COUNTIF($AH$5:AH141,AH141)</x:f>
        <x:v>137</x:v>
      </x:c>
      <x:c r="B141" s="51" t="str">
        <x:v>engineering/robotics_blender_tabletop_reconstruction</x:v>
      </x:c>
      <x:c r="C141" s="51" t="str">
        <x:v>Blender Tabletop Workspace Reconstruction</x:v>
      </x:c>
      <x:c r="D141" s="51" t="str">
        <x:v>engineering</x:v>
      </x:c>
      <x:c r="E141" s="51" t="str">
        <x:v>3D, Animation &amp; Interactive Media</x:v>
      </x:c>
      <x:c r="F141" s="51" t="str">
        <x:v>GUI and specialist application workflow</x:v>
      </x:c>
      <x:c r="G141" s="51" t="str">
        <x:v>Specialist engineer</x:v>
      </x:c>
      <x:c r="H141" s="51" t="str">
        <x:v>Professional and related</x:v>
      </x:c>
      <x:c r="I141" s="52" t="n">
        <x:v>1.2</x:v>
      </x:c>
      <x:c r="J141" s="51" t="str">
        <x:v>Structured data artifact</x:v>
      </x:c>
      <x:c r="K141" s="43" t="n">
        <x:v>40</x:v>
      </x:c>
      <x:c r="L141" s="43" t="n">
        <x:v>72</x:v>
      </x:c>
      <x:c r="M141" s="43" t="n">
        <x:v>130</x:v>
      </x:c>
      <x:c r="N141" s="43" t="n">
        <x:v>8</x:v>
      </x:c>
      <x:c r="O141" s="44" t="n">
        <x:f>INDEX('Assumptions'!$B$24:$B$29,MATCH(H141,'Assumptions'!$A$24:$A$29,0))*I141</x:f>
        <x:v>87.588</x:v>
      </x:c>
      <x:c r="P141" s="41" t="str">
        <x:v>Critical</x:v>
      </x:c>
      <x:c r="Q141" s="45" t="n">
        <x:f>INDEX('Assumptions'!$B$18:$B$21,MATCH(P141,'Assumptions'!$A$18:$A$21,0))</x:f>
        <x:v>2.2</x:v>
      </x:c>
      <x:c r="R141" s="46" t="n">
        <x:v>0.4</x:v>
      </x:c>
      <x:c r="S141" s="47" t="n">
        <x:f>L141*R141</x:f>
        <x:v>28.8</x:v>
      </x:c>
      <x:c r="T141" s="48" t="n">
        <x:v>50</x:v>
      </x:c>
      <x:c r="U141" s="41" t="n">
        <x:v>2</x:v>
      </x:c>
      <x:c r="V141" s="41" t="n">
        <x:v>10</x:v>
      </x:c>
      <x:c r="W141" s="49" t="n">
        <x:f>V141/100*'Assumptions'!$B$9</x:f>
        <x:v>0.034999999999999996</x:v>
      </x:c>
      <x:c r="X141" s="49" t="n">
        <x:f>MIN('Assumptions'!$B$11,V141/100*'Assumptions'!$B$10)</x:f>
        <x:v>0.07800000000000001</x:v>
      </x:c>
      <x:c r="Y141" s="41" t="n">
        <x:v>56</x:v>
      </x:c>
      <x:c r="Z141" s="41" t="n">
        <x:v>22</x:v>
      </x:c>
      <x:c r="AA141" s="50" t="n">
        <x:f>K141*O141*Q141</x:f>
        <x:v>7707.744</x:v>
      </x:c>
      <x:c r="AB141" s="50" t="n">
        <x:f>L141*O141*Q141</x:f>
        <x:v>13873.939199999999</x:v>
      </x:c>
      <x:c r="AC141" s="50" t="n">
        <x:f>M141*O141*Q141</x:f>
        <x:v>25050.167999999998</x:v>
      </x:c>
      <x:c r="AD141" s="50" t="n">
        <x:f>AB141*N141</x:f>
        <x:v>110991.51359999999</x:v>
      </x:c>
      <x:c r="AE141" s="50" t="n">
        <x:f>MAX(0,N141*(AB141*W141-S141*O141-T141))</x:f>
        <x:v>0</x:v>
      </x:c>
      <x:c r="AF141" s="50" t="n">
        <x:f>MAX(0,N141*(AB141*X141-S141*O141-T141))</x:f>
        <x:v>0</x:v>
      </x:c>
      <x:c r="AG141" s="47" t="n">
        <x:f>(RANK.EQ(AD141,$AD$5:$AD$157,1)-1)/(COUNT($AD$5:$AD$157)-1)*100</x:f>
        <x:v>69.73684210526315</x:v>
      </x:c>
      <x:c r="AH141" s="47" t="n">
        <x:f>MAX(0,MIN(100,AG141*'Assumptions'!$B$5+V141*'Assumptions'!$B$6+Y141*'Assumptions'!$B$7+Z141*'Assumptions'!$B$8-(Q141-1)*'Assumptions'!$B$12))</x:f>
        <x:v>29.234210526315785</x:v>
      </x:c>
      <x:c r="AI141" s="51" t="str">
        <x:v>Low</x:v>
      </x:c>
      <x:c r="AJ141" s="51" t="str">
        <x:v>Professional desktop applications remain difficult for agents because state, files, and visual QA must stay synchronized.</x:v>
      </x:c>
      <x:c r="AK141" s="53" t="str">
        <x:f>IF(AND(AH141&gt;=75,V141&gt;=65,Z141&gt;=60),"Build now",IF(AND(AH141&gt;=60,V141&gt;=50),"Validate next",IF(AH141&gt;=50,"Partner or monitor","Deprioritize")))</x:f>
        <x:v>Deprioritize</x:v>
      </x:c>
      <x:c r="AL141" s="51" t="str">
        <x:v>Useful copilot for parts of the workflow; close supervision is required. Accountable professional signoff remains necessary. Application control and visual QA are major blockers.</x:v>
      </x:c>
      <x:c r="AM141" s="51" t="str">
        <x:v>/Users/jaibhagat/code/prismml/agents-last-exam/tasks/engineering/robotics_blender_tabletop_reconstruction/task_card.json</x:v>
      </x:c>
    </x:row>
    <x:row r="142">
      <x:c r="A142" s="40" t="n">
        <x:f>COUNTIF($AH$5:$AH$157,"&gt;"&amp;AH142)+COUNTIF($AH$5:AH142,AH142)</x:f>
        <x:v>136</x:v>
      </x:c>
      <x:c r="B142" s="51" t="str">
        <x:v>physical_sciences/ketcher_smiles_reproduction</x:v>
      </x:c>
      <x:c r="C142" s="51" t="str">
        <x:v>Ketcher SMILES Reproduction</x:v>
      </x:c>
      <x:c r="D142" s="51" t="str">
        <x:v>physical_sciences</x:v>
      </x:c>
      <x:c r="E142" s="51" t="str">
        <x:v>Chemistry &amp; Materials Computation</x:v>
      </x:c>
      <x:c r="F142" s="51" t="str">
        <x:v>GUI and specialist application workflow</x:v>
      </x:c>
      <x:c r="G142" s="51" t="str">
        <x:v>Computational scientist</x:v>
      </x:c>
      <x:c r="H142" s="51" t="str">
        <x:v>Professional and related</x:v>
      </x:c>
      <x:c r="I142" s="52" t="n">
        <x:v>1.25</x:v>
      </x:c>
      <x:c r="J142" s="51" t="str">
        <x:v>GUI-created professional artifact</x:v>
      </x:c>
      <x:c r="K142" s="43" t="n">
        <x:v>40</x:v>
      </x:c>
      <x:c r="L142" s="43" t="n">
        <x:v>72</x:v>
      </x:c>
      <x:c r="M142" s="43" t="n">
        <x:v>130</x:v>
      </x:c>
      <x:c r="N142" s="43" t="n">
        <x:v>8</x:v>
      </x:c>
      <x:c r="O142" s="44" t="n">
        <x:f>INDEX('Assumptions'!$B$24:$B$29,MATCH(H142,'Assumptions'!$A$24:$A$29,0))*I142</x:f>
        <x:v>91.2375</x:v>
      </x:c>
      <x:c r="P142" s="41" t="str">
        <x:v>Medium</x:v>
      </x:c>
      <x:c r="Q142" s="45" t="n">
        <x:f>INDEX('Assumptions'!$B$18:$B$21,MATCH(P142,'Assumptions'!$A$18:$A$21,0))</x:f>
        <x:v>1.25</x:v>
      </x:c>
      <x:c r="R142" s="46" t="n">
        <x:v>0.18</x:v>
      </x:c>
      <x:c r="S142" s="47" t="n">
        <x:f>L142*R142</x:f>
        <x:v>12.959999999999999</x:v>
      </x:c>
      <x:c r="T142" s="48" t="n">
        <x:v>50</x:v>
      </x:c>
      <x:c r="U142" s="41" t="n">
        <x:v>2</x:v>
      </x:c>
      <x:c r="V142" s="41" t="n">
        <x:v>10</x:v>
      </x:c>
      <x:c r="W142" s="49" t="n">
        <x:f>V142/100*'Assumptions'!$B$9</x:f>
        <x:v>0.034999999999999996</x:v>
      </x:c>
      <x:c r="X142" s="49" t="n">
        <x:f>MIN('Assumptions'!$B$11,V142/100*'Assumptions'!$B$10)</x:f>
        <x:v>0.07800000000000001</x:v>
      </x:c>
      <x:c r="Y142" s="41" t="n">
        <x:v>52</x:v>
      </x:c>
      <x:c r="Z142" s="41" t="n">
        <x:v>33</x:v>
      </x:c>
      <x:c r="AA142" s="50" t="n">
        <x:f>K142*O142*Q142</x:f>
        <x:v>4561.875</x:v>
      </x:c>
      <x:c r="AB142" s="50" t="n">
        <x:f>L142*O142*Q142</x:f>
        <x:v>8211.375</x:v>
      </x:c>
      <x:c r="AC142" s="50" t="n">
        <x:f>M142*O142*Q142</x:f>
        <x:v>14826.09375</x:v>
      </x:c>
      <x:c r="AD142" s="50" t="n">
        <x:f>AB142*N142</x:f>
        <x:v>65691</x:v>
      </x:c>
      <x:c r="AE142" s="50" t="n">
        <x:f>MAX(0,N142*(AB142*W142-S142*O142-T142))</x:f>
        <x:v>0</x:v>
      </x:c>
      <x:c r="AF142" s="50" t="n">
        <x:f>MAX(0,N142*(AB142*X142-S142*O142-T142))</x:f>
        <x:v>0</x:v>
      </x:c>
      <x:c r="AG142" s="47" t="n">
        <x:f>(RANK.EQ(AD142,$AD$5:$AD$157,1)-1)/(COUNT($AD$5:$AD$157)-1)*100</x:f>
        <x:v>34.868421052631575</x:v>
      </x:c>
      <x:c r="AH142" s="47" t="n">
        <x:f>MAX(0,MIN(100,AG142*'Assumptions'!$B$5+V142*'Assumptions'!$B$6+Y142*'Assumptions'!$B$7+Z142*'Assumptions'!$B$8-(Q142-1)*'Assumptions'!$B$12))</x:f>
        <x:v>29.317105263157895</x:v>
      </x:c>
      <x:c r="AI142" s="51" t="str">
        <x:v>Low</x:v>
      </x:c>
      <x:c r="AJ142" s="51" t="str">
        <x:v>Professional desktop applications remain difficult for agents because state, files, and visual QA must stay synchronized.</x:v>
      </x:c>
      <x:c r="AK142" s="53" t="str">
        <x:f>IF(AND(AH142&gt;=75,V142&gt;=65,Z142&gt;=60),"Build now",IF(AND(AH142&gt;=60,V142&gt;=50),"Validate next",IF(AH142&gt;=50,"Partner or monitor","Deprioritize")))</x:f>
        <x:v>Deprioritize</x:v>
      </x:c>
      <x:c r="AL142" s="51" t="str">
        <x:v>Useful copilot for parts of the workflow; close supervision is required. Application control and visual QA are major blockers.</x:v>
      </x:c>
      <x:c r="AM142" s="51" t="str">
        <x:v>/Users/jaibhagat/code/prismml/agents-last-exam/tasks/physical_sciences/ketcher_smiles_reproduction/task_card.json</x:v>
      </x:c>
    </x:row>
    <x:row r="143">
      <x:c r="A143" s="40" t="n">
        <x:f>COUNTIF($AH$5:$AH$157,"&gt;"&amp;AH143)+COUNTIF($AH$5:AH143,AH143)</x:f>
        <x:v>139</x:v>
      </x:c>
      <x:c r="B143" s="51" t="str">
        <x:v>engineering/pcb_layout_kicad_1</x:v>
      </x:c>
      <x:c r="C143" s="51" t="str">
        <x:v>Mini Encabulator KiCad PCB Layout</x:v>
      </x:c>
      <x:c r="D143" s="51" t="str">
        <x:v>engineering</x:v>
      </x:c>
      <x:c r="E143" s="51" t="str">
        <x:v>Electronics Engineering</x:v>
      </x:c>
      <x:c r="F143" s="51" t="str">
        <x:v>GUI and specialist application workflow</x:v>
      </x:c>
      <x:c r="G143" s="51" t="str">
        <x:v>Specialist engineer</x:v>
      </x:c>
      <x:c r="H143" s="51" t="str">
        <x:v>Professional and related</x:v>
      </x:c>
      <x:c r="I143" s="52" t="n">
        <x:v>1.2</x:v>
      </x:c>
      <x:c r="J143" s="51" t="str">
        <x:v>GUI-created professional artifact</x:v>
      </x:c>
      <x:c r="K143" s="43" t="n">
        <x:v>40</x:v>
      </x:c>
      <x:c r="L143" s="43" t="n">
        <x:v>72</x:v>
      </x:c>
      <x:c r="M143" s="43" t="n">
        <x:v>130</x:v>
      </x:c>
      <x:c r="N143" s="43" t="n">
        <x:v>8</x:v>
      </x:c>
      <x:c r="O143" s="44" t="n">
        <x:f>INDEX('Assumptions'!$B$24:$B$29,MATCH(H143,'Assumptions'!$A$24:$A$29,0))*I143</x:f>
        <x:v>87.588</x:v>
      </x:c>
      <x:c r="P143" s="41" t="str">
        <x:v>High</x:v>
      </x:c>
      <x:c r="Q143" s="45" t="n">
        <x:f>INDEX('Assumptions'!$B$18:$B$21,MATCH(P143,'Assumptions'!$A$18:$A$21,0))</x:f>
        <x:v>1.6</x:v>
      </x:c>
      <x:c r="R143" s="46" t="n">
        <x:v>0.28</x:v>
      </x:c>
      <x:c r="S143" s="47" t="n">
        <x:f>L143*R143</x:f>
        <x:v>20.160000000000004</x:v>
      </x:c>
      <x:c r="T143" s="48" t="n">
        <x:v>50</x:v>
      </x:c>
      <x:c r="U143" s="41" t="n">
        <x:v>2</x:v>
      </x:c>
      <x:c r="V143" s="41" t="n">
        <x:v>10</x:v>
      </x:c>
      <x:c r="W143" s="49" t="n">
        <x:f>V143/100*'Assumptions'!$B$9</x:f>
        <x:v>0.034999999999999996</x:v>
      </x:c>
      <x:c r="X143" s="49" t="n">
        <x:f>MIN('Assumptions'!$B$11,V143/100*'Assumptions'!$B$10)</x:f>
        <x:v>0.07800000000000001</x:v>
      </x:c>
      <x:c r="Y143" s="41" t="n">
        <x:v>52</x:v>
      </x:c>
      <x:c r="Z143" s="41" t="n">
        <x:v>25</x:v>
      </x:c>
      <x:c r="AA143" s="50" t="n">
        <x:f>K143*O143*Q143</x:f>
        <x:v>5605.632</x:v>
      </x:c>
      <x:c r="AB143" s="50" t="n">
        <x:f>L143*O143*Q143</x:f>
        <x:v>10090.1376</x:v>
      </x:c>
      <x:c r="AC143" s="50" t="n">
        <x:f>M143*O143*Q143</x:f>
        <x:v>18218.304</x:v>
      </x:c>
      <x:c r="AD143" s="50" t="n">
        <x:f>AB143*N143</x:f>
        <x:v>80721.1008</x:v>
      </x:c>
      <x:c r="AE143" s="50" t="n">
        <x:f>MAX(0,N143*(AB143*W143-S143*O143-T143))</x:f>
        <x:v>0</x:v>
      </x:c>
      <x:c r="AF143" s="50" t="n">
        <x:f>MAX(0,N143*(AB143*X143-S143*O143-T143))</x:f>
        <x:v>0</x:v>
      </x:c>
      <x:c r="AG143" s="47" t="n">
        <x:f>(RANK.EQ(AD143,$AD$5:$AD$157,1)-1)/(COUNT($AD$5:$AD$157)-1)*100</x:f>
        <x:v>50</x:v>
      </x:c>
      <x:c r="AH143" s="47" t="n">
        <x:f>MAX(0,MIN(100,AG143*'Assumptions'!$B$5+V143*'Assumptions'!$B$6+Y143*'Assumptions'!$B$7+Z143*'Assumptions'!$B$8-(Q143-1)*'Assumptions'!$B$12))</x:f>
        <x:v>28.7</x:v>
      </x:c>
      <x:c r="AI143" s="51" t="str">
        <x:v>Low</x:v>
      </x:c>
      <x:c r="AJ143" s="51" t="str">
        <x:v>Professional desktop applications remain difficult for agents because state, files, and visual QA must stay synchronized.</x:v>
      </x:c>
      <x:c r="AK143" s="53" t="str">
        <x:f>IF(AND(AH143&gt;=75,V143&gt;=65,Z143&gt;=60),"Build now",IF(AND(AH143&gt;=60,V143&gt;=50),"Validate next",IF(AH143&gt;=50,"Partner or monitor","Deprioritize")))</x:f>
        <x:v>Deprioritize</x:v>
      </x:c>
      <x:c r="AL143" s="51" t="str">
        <x:v>Useful copilot for parts of the workflow; close supervision is required. Application control and visual QA are major blockers.</x:v>
      </x:c>
      <x:c r="AM143" s="51" t="str">
        <x:v>/Users/jaibhagat/code/prismml/agents-last-exam/tasks/engineering/pcb_layout_kicad_1/task_card.json</x:v>
      </x:c>
    </x:row>
    <x:row r="144">
      <x:c r="A144" s="40" t="n">
        <x:f>COUNTIF($AH$5:$AH$157,"&gt;"&amp;AH144)+COUNTIF($AH$5:AH144,AH144)</x:f>
        <x:v>140</x:v>
      </x:c>
      <x:c r="B144" s="51" t="str">
        <x:v>engineering/gcode</x:v>
      </x:c>
      <x:c r="C144" s="51" t="str">
        <x:v>gcode</x:v>
      </x:c>
      <x:c r="D144" s="51" t="str">
        <x:v>engineering</x:v>
      </x:c>
      <x:c r="E144" s="51" t="str">
        <x:v>Manufacturing &amp; Industrial Systems</x:v>
      </x:c>
      <x:c r="F144" s="51" t="str">
        <x:v>GUI and specialist application workflow</x:v>
      </x:c>
      <x:c r="G144" s="51" t="str">
        <x:v>Specialist engineer</x:v>
      </x:c>
      <x:c r="H144" s="51" t="str">
        <x:v>Professional and related</x:v>
      </x:c>
      <x:c r="I144" s="52" t="n">
        <x:v>1.2</x:v>
      </x:c>
      <x:c r="J144" s="51" t="str">
        <x:v>GUI-created professional artifact</x:v>
      </x:c>
      <x:c r="K144" s="43" t="n">
        <x:v>40</x:v>
      </x:c>
      <x:c r="L144" s="43" t="n">
        <x:v>72</x:v>
      </x:c>
      <x:c r="M144" s="43" t="n">
        <x:v>130</x:v>
      </x:c>
      <x:c r="N144" s="43" t="n">
        <x:v>8</x:v>
      </x:c>
      <x:c r="O144" s="44" t="n">
        <x:f>INDEX('Assumptions'!$B$24:$B$29,MATCH(H144,'Assumptions'!$A$24:$A$29,0))*I144</x:f>
        <x:v>87.588</x:v>
      </x:c>
      <x:c r="P144" s="41" t="str">
        <x:v>High</x:v>
      </x:c>
      <x:c r="Q144" s="45" t="n">
        <x:f>INDEX('Assumptions'!$B$18:$B$21,MATCH(P144,'Assumptions'!$A$18:$A$21,0))</x:f>
        <x:v>1.6</x:v>
      </x:c>
      <x:c r="R144" s="46" t="n">
        <x:v>0.28</x:v>
      </x:c>
      <x:c r="S144" s="47" t="n">
        <x:f>L144*R144</x:f>
        <x:v>20.160000000000004</x:v>
      </x:c>
      <x:c r="T144" s="48" t="n">
        <x:v>50</x:v>
      </x:c>
      <x:c r="U144" s="41" t="n">
        <x:v>2</x:v>
      </x:c>
      <x:c r="V144" s="41" t="n">
        <x:v>10</x:v>
      </x:c>
      <x:c r="W144" s="49" t="n">
        <x:f>V144/100*'Assumptions'!$B$9</x:f>
        <x:v>0.034999999999999996</x:v>
      </x:c>
      <x:c r="X144" s="49" t="n">
        <x:f>MIN('Assumptions'!$B$11,V144/100*'Assumptions'!$B$10)</x:f>
        <x:v>0.07800000000000001</x:v>
      </x:c>
      <x:c r="Y144" s="41" t="n">
        <x:v>52</x:v>
      </x:c>
      <x:c r="Z144" s="41" t="n">
        <x:v>25</x:v>
      </x:c>
      <x:c r="AA144" s="50" t="n">
        <x:f>K144*O144*Q144</x:f>
        <x:v>5605.632</x:v>
      </x:c>
      <x:c r="AB144" s="50" t="n">
        <x:f>L144*O144*Q144</x:f>
        <x:v>10090.1376</x:v>
      </x:c>
      <x:c r="AC144" s="50" t="n">
        <x:f>M144*O144*Q144</x:f>
        <x:v>18218.304</x:v>
      </x:c>
      <x:c r="AD144" s="50" t="n">
        <x:f>AB144*N144</x:f>
        <x:v>80721.1008</x:v>
      </x:c>
      <x:c r="AE144" s="50" t="n">
        <x:f>MAX(0,N144*(AB144*W144-S144*O144-T144))</x:f>
        <x:v>0</x:v>
      </x:c>
      <x:c r="AF144" s="50" t="n">
        <x:f>MAX(0,N144*(AB144*X144-S144*O144-T144))</x:f>
        <x:v>0</x:v>
      </x:c>
      <x:c r="AG144" s="47" t="n">
        <x:f>(RANK.EQ(AD144,$AD$5:$AD$157,1)-1)/(COUNT($AD$5:$AD$157)-1)*100</x:f>
        <x:v>50</x:v>
      </x:c>
      <x:c r="AH144" s="47" t="n">
        <x:f>MAX(0,MIN(100,AG144*'Assumptions'!$B$5+V144*'Assumptions'!$B$6+Y144*'Assumptions'!$B$7+Z144*'Assumptions'!$B$8-(Q144-1)*'Assumptions'!$B$12))</x:f>
        <x:v>28.7</x:v>
      </x:c>
      <x:c r="AI144" s="51" t="str">
        <x:v>Low</x:v>
      </x:c>
      <x:c r="AJ144" s="51" t="str">
        <x:v>Professional desktop applications remain difficult for agents because state, files, and visual QA must stay synchronized.</x:v>
      </x:c>
      <x:c r="AK144" s="53" t="str">
        <x:f>IF(AND(AH144&gt;=75,V144&gt;=65,Z144&gt;=60),"Build now",IF(AND(AH144&gt;=60,V144&gt;=50),"Validate next",IF(AH144&gt;=50,"Partner or monitor","Deprioritize")))</x:f>
        <x:v>Deprioritize</x:v>
      </x:c>
      <x:c r="AL144" s="51" t="str">
        <x:v>Useful copilot for parts of the workflow; close supervision is required. Application control and visual QA are major blockers.</x:v>
      </x:c>
      <x:c r="AM144" s="51" t="str">
        <x:v>/Users/jaibhagat/code/prismml/agents-last-exam/tasks/engineering/gcode/task_card.json</x:v>
      </x:c>
    </x:row>
    <x:row r="145">
      <x:c r="A145" s="40" t="n">
        <x:f>COUNTIF($AH$5:$AH$157,"&gt;"&amp;AH145)+COUNTIF($AH$5:AH145,AH145)</x:f>
        <x:v>142</x:v>
      </x:c>
      <x:c r="B145" s="51" t="str">
        <x:v>engineering/cailian_road_highway_alignment_2</x:v>
      </x:c>
      <x:c r="C145" s="51" t="str">
        <x:v>Cailian Road Highway Alignment</x:v>
      </x:c>
      <x:c r="D145" s="51" t="str">
        <x:v>engineering</x:v>
      </x:c>
      <x:c r="E145" s="51" t="str">
        <x:v>Civil, Architectural &amp; Geospatial Engineering</x:v>
      </x:c>
      <x:c r="F145" s="51" t="str">
        <x:v>GUI and specialist application workflow</x:v>
      </x:c>
      <x:c r="G145" s="51" t="str">
        <x:v>Specialist engineer</x:v>
      </x:c>
      <x:c r="H145" s="51" t="str">
        <x:v>Professional and related</x:v>
      </x:c>
      <x:c r="I145" s="52" t="n">
        <x:v>1.2</x:v>
      </x:c>
      <x:c r="J145" s="51" t="str">
        <x:v>Structured data artifact</x:v>
      </x:c>
      <x:c r="K145" s="43" t="n">
        <x:v>40</x:v>
      </x:c>
      <x:c r="L145" s="43" t="n">
        <x:v>72</x:v>
      </x:c>
      <x:c r="M145" s="43" t="n">
        <x:v>130</x:v>
      </x:c>
      <x:c r="N145" s="43" t="n">
        <x:v>8</x:v>
      </x:c>
      <x:c r="O145" s="44" t="n">
        <x:f>INDEX('Assumptions'!$B$24:$B$29,MATCH(H145,'Assumptions'!$A$24:$A$29,0))*I145</x:f>
        <x:v>87.588</x:v>
      </x:c>
      <x:c r="P145" s="41" t="str">
        <x:v>Critical</x:v>
      </x:c>
      <x:c r="Q145" s="45" t="n">
        <x:f>INDEX('Assumptions'!$B$18:$B$21,MATCH(P145,'Assumptions'!$A$18:$A$21,0))</x:f>
        <x:v>2.2</x:v>
      </x:c>
      <x:c r="R145" s="46" t="n">
        <x:v>0.4</x:v>
      </x:c>
      <x:c r="S145" s="47" t="n">
        <x:f>L145*R145</x:f>
        <x:v>28.8</x:v>
      </x:c>
      <x:c r="T145" s="48" t="n">
        <x:v>50</x:v>
      </x:c>
      <x:c r="U145" s="41" t="n">
        <x:v>2</x:v>
      </x:c>
      <x:c r="V145" s="41" t="n">
        <x:v>10</x:v>
      </x:c>
      <x:c r="W145" s="49" t="n">
        <x:f>V145/100*'Assumptions'!$B$9</x:f>
        <x:v>0.034999999999999996</x:v>
      </x:c>
      <x:c r="X145" s="49" t="n">
        <x:f>MIN('Assumptions'!$B$11,V145/100*'Assumptions'!$B$10)</x:f>
        <x:v>0.07800000000000001</x:v>
      </x:c>
      <x:c r="Y145" s="41" t="n">
        <x:v>56</x:v>
      </x:c>
      <x:c r="Z145" s="41" t="n">
        <x:v>17</x:v>
      </x:c>
      <x:c r="AA145" s="50" t="n">
        <x:f>K145*O145*Q145</x:f>
        <x:v>7707.744</x:v>
      </x:c>
      <x:c r="AB145" s="50" t="n">
        <x:f>L145*O145*Q145</x:f>
        <x:v>13873.939199999999</x:v>
      </x:c>
      <x:c r="AC145" s="50" t="n">
        <x:f>M145*O145*Q145</x:f>
        <x:v>25050.167999999998</x:v>
      </x:c>
      <x:c r="AD145" s="50" t="n">
        <x:f>AB145*N145</x:f>
        <x:v>110991.51359999999</x:v>
      </x:c>
      <x:c r="AE145" s="50" t="n">
        <x:f>MAX(0,N145*(AB145*W145-S145*O145-T145))</x:f>
        <x:v>0</x:v>
      </x:c>
      <x:c r="AF145" s="50" t="n">
        <x:f>MAX(0,N145*(AB145*X145-S145*O145-T145))</x:f>
        <x:v>0</x:v>
      </x:c>
      <x:c r="AG145" s="47" t="n">
        <x:f>(RANK.EQ(AD145,$AD$5:$AD$157,1)-1)/(COUNT($AD$5:$AD$157)-1)*100</x:f>
        <x:v>69.73684210526315</x:v>
      </x:c>
      <x:c r="AH145" s="47" t="n">
        <x:f>MAX(0,MIN(100,AG145*'Assumptions'!$B$5+V145*'Assumptions'!$B$6+Y145*'Assumptions'!$B$7+Z145*'Assumptions'!$B$8-(Q145-1)*'Assumptions'!$B$12))</x:f>
        <x:v>28.234210526315785</x:v>
      </x:c>
      <x:c r="AI145" s="51" t="str">
        <x:v>Low</x:v>
      </x:c>
      <x:c r="AJ145" s="51" t="str">
        <x:v>Professional desktop applications remain difficult for agents because state, files, and visual QA must stay synchronized.</x:v>
      </x:c>
      <x:c r="AK145" s="53" t="str">
        <x:f>IF(AND(AH145&gt;=75,V145&gt;=65,Z145&gt;=60),"Build now",IF(AND(AH145&gt;=60,V145&gt;=50),"Validate next",IF(AH145&gt;=50,"Partner or monitor","Deprioritize")))</x:f>
        <x:v>Deprioritize</x:v>
      </x:c>
      <x:c r="AL145" s="51" t="str">
        <x:v>Useful copilot for parts of the workflow; close supervision is required. Accountable professional signoff remains necessary. Application control and visual QA are major blockers.</x:v>
      </x:c>
      <x:c r="AM145" s="51" t="str">
        <x:v>/Users/jaibhagat/code/prismml/agents-last-exam/tasks/engineering/cailian_road_highway_alignment_2/task_card.json</x:v>
      </x:c>
    </x:row>
    <x:row r="146">
      <x:c r="A146" s="40" t="n">
        <x:f>COUNTIF($AH$5:$AH$157,"&gt;"&amp;AH146)+COUNTIF($AH$5:AH146,AH146)</x:f>
        <x:v>141</x:v>
      </x:c>
      <x:c r="B146" s="51" t="str">
        <x:v>visual_media/video_storyboard_001</x:v>
      </x:c>
      <x:c r="C146" s="51" t="str">
        <x:v>Pre-Restoration Shot Log: Vintage Animation Remaster</x:v>
      </x:c>
      <x:c r="D146" s="51" t="str">
        <x:v>visual_media</x:v>
      </x:c>
      <x:c r="E146" s="51" t="str">
        <x:v>Audio, Music &amp; Post-Production Media</x:v>
      </x:c>
      <x:c r="F146" s="51" t="str">
        <x:v>GUI and specialist application workflow</x:v>
      </x:c>
      <x:c r="G146" s="51" t="str">
        <x:v>Designer, animator, or media specialist</x:v>
      </x:c>
      <x:c r="H146" s="51" t="str">
        <x:v>Professional and related</x:v>
      </x:c>
      <x:c r="I146" s="52" t="n">
        <x:v>1</x:v>
      </x:c>
      <x:c r="J146" s="51" t="str">
        <x:v>Report or analytical workbook</x:v>
      </x:c>
      <x:c r="K146" s="43" t="n">
        <x:v>59</x:v>
      </x:c>
      <x:c r="L146" s="43" t="n">
        <x:v>108</x:v>
      </x:c>
      <x:c r="M146" s="43" t="n">
        <x:v>194</x:v>
      </x:c>
      <x:c r="N146" s="43" t="n">
        <x:v>8</x:v>
      </x:c>
      <x:c r="O146" s="44" t="n">
        <x:f>INDEX('Assumptions'!$B$24:$B$29,MATCH(H146,'Assumptions'!$A$24:$A$29,0))*I146</x:f>
        <x:v>72.99</x:v>
      </x:c>
      <x:c r="P146" s="41" t="str">
        <x:v>Low</x:v>
      </x:c>
      <x:c r="Q146" s="45" t="n">
        <x:f>INDEX('Assumptions'!$B$18:$B$21,MATCH(P146,'Assumptions'!$A$18:$A$21,0))</x:f>
        <x:v>1</x:v>
      </x:c>
      <x:c r="R146" s="46" t="n">
        <x:v>0.1</x:v>
      </x:c>
      <x:c r="S146" s="47" t="n">
        <x:f>L146*R146</x:f>
        <x:v>10.8</x:v>
      </x:c>
      <x:c r="T146" s="48" t="n">
        <x:v>50</x:v>
      </x:c>
      <x:c r="U146" s="41" t="n">
        <x:v>2</x:v>
      </x:c>
      <x:c r="V146" s="41" t="n">
        <x:v>5</x:v>
      </x:c>
      <x:c r="W146" s="49" t="n">
        <x:f>V146/100*'Assumptions'!$B$9</x:f>
        <x:v>0.017499999999999998</x:v>
      </x:c>
      <x:c r="X146" s="49" t="n">
        <x:f>MIN('Assumptions'!$B$11,V146/100*'Assumptions'!$B$10)</x:f>
        <x:v>0.03900000000000001</x:v>
      </x:c>
      <x:c r="Y146" s="41" t="n">
        <x:v>52</x:v>
      </x:c>
      <x:c r="Z146" s="41" t="n">
        <x:v>28</x:v>
      </x:c>
      <x:c r="AA146" s="50" t="n">
        <x:f>K146*O146*Q146</x:f>
        <x:v>4306.41</x:v>
      </x:c>
      <x:c r="AB146" s="50" t="n">
        <x:f>L146*O146*Q146</x:f>
        <x:v>7882.919999999999</x:v>
      </x:c>
      <x:c r="AC146" s="50" t="n">
        <x:f>M146*O146*Q146</x:f>
        <x:v>14160.06</x:v>
      </x:c>
      <x:c r="AD146" s="50" t="n">
        <x:f>AB146*N146</x:f>
        <x:v>63063.35999999999</x:v>
      </x:c>
      <x:c r="AE146" s="50" t="n">
        <x:f>MAX(0,N146*(AB146*W146-S146*O146-T146))</x:f>
        <x:v>0</x:v>
      </x:c>
      <x:c r="AF146" s="50" t="n">
        <x:f>MAX(0,N146*(AB146*X146-S146*O146-T146))</x:f>
        <x:v>0</x:v>
      </x:c>
      <x:c r="AG146" s="47" t="n">
        <x:f>(RANK.EQ(AD146,$AD$5:$AD$157,1)-1)/(COUNT($AD$5:$AD$157)-1)*100</x:f>
        <x:v>32.89473684210527</x:v>
      </x:c>
      <x:c r="AH146" s="47" t="n">
        <x:f>MAX(0,MIN(100,AG146*'Assumptions'!$B$5+V146*'Assumptions'!$B$6+Y146*'Assumptions'!$B$7+Z146*'Assumptions'!$B$8-(Q146-1)*'Assumptions'!$B$12))</x:f>
        <x:v>28.323684210526316</x:v>
      </x:c>
      <x:c r="AI146" s="51" t="str">
        <x:v>Low</x:v>
      </x:c>
      <x:c r="AJ146" s="51" t="str">
        <x:v>Professional desktop applications remain difficult for agents because state, files, and visual QA must stay synchronized.</x:v>
      </x:c>
      <x:c r="AK146" s="53" t="str">
        <x:f>IF(AND(AH146&gt;=75,V146&gt;=65,Z146&gt;=60),"Build now",IF(AND(AH146&gt;=60,V146&gt;=50),"Validate next",IF(AH146&gt;=50,"Partner or monitor","Deprioritize")))</x:f>
        <x:v>Deprioritize</x:v>
      </x:c>
      <x:c r="AL146" s="51" t="str">
        <x:v>Useful copilot for parts of the workflow; close supervision is required. Application control and visual QA are major blockers.</x:v>
      </x:c>
      <x:c r="AM146" s="51" t="str">
        <x:v>/Users/jaibhagat/code/prismml/agents-last-exam/tasks/visual_media/video_storyboard_001/task_card.json</x:v>
      </x:c>
    </x:row>
    <x:row r="147">
      <x:c r="A147" s="40" t="n">
        <x:f>COUNTIF($AH$5:$AH$157,"&gt;"&amp;AH147)+COUNTIF($AH$5:AH147,AH147)</x:f>
        <x:v>144</x:v>
      </x:c>
      <x:c r="B147" s="51" t="str">
        <x:v>visual_media/uv_reproduction</x:v>
      </x:c>
      <x:c r="C147" s="51" t="str">
        <x:v>UV Reproduction</x:v>
      </x:c>
      <x:c r="D147" s="51" t="str">
        <x:v>visual_media</x:v>
      </x:c>
      <x:c r="E147" s="51" t="str">
        <x:v>3D, Animation &amp; Interactive Media</x:v>
      </x:c>
      <x:c r="F147" s="51" t="str">
        <x:v>GUI and specialist application workflow</x:v>
      </x:c>
      <x:c r="G147" s="51" t="str">
        <x:v>Designer, animator, or media specialist</x:v>
      </x:c>
      <x:c r="H147" s="51" t="str">
        <x:v>Professional and related</x:v>
      </x:c>
      <x:c r="I147" s="52" t="n">
        <x:v>1</x:v>
      </x:c>
      <x:c r="J147" s="51" t="str">
        <x:v>GUI-created professional artifact</x:v>
      </x:c>
      <x:c r="K147" s="43" t="n">
        <x:v>40</x:v>
      </x:c>
      <x:c r="L147" s="43" t="n">
        <x:v>72</x:v>
      </x:c>
      <x:c r="M147" s="43" t="n">
        <x:v>130</x:v>
      </x:c>
      <x:c r="N147" s="43" t="n">
        <x:v>8</x:v>
      </x:c>
      <x:c r="O147" s="44" t="n">
        <x:f>INDEX('Assumptions'!$B$24:$B$29,MATCH(H147,'Assumptions'!$A$24:$A$29,0))*I147</x:f>
        <x:v>72.99</x:v>
      </x:c>
      <x:c r="P147" s="41" t="str">
        <x:v>Low</x:v>
      </x:c>
      <x:c r="Q147" s="45" t="n">
        <x:f>INDEX('Assumptions'!$B$18:$B$21,MATCH(P147,'Assumptions'!$A$18:$A$21,0))</x:f>
        <x:v>1</x:v>
      </x:c>
      <x:c r="R147" s="46" t="n">
        <x:v>0.1</x:v>
      </x:c>
      <x:c r="S147" s="47" t="n">
        <x:f>L147*R147</x:f>
        <x:v>7.2</x:v>
      </x:c>
      <x:c r="T147" s="48" t="n">
        <x:v>50</x:v>
      </x:c>
      <x:c r="U147" s="41" t="n">
        <x:v>2</x:v>
      </x:c>
      <x:c r="V147" s="41" t="n">
        <x:v>10</x:v>
      </x:c>
      <x:c r="W147" s="49" t="n">
        <x:f>V147/100*'Assumptions'!$B$9</x:f>
        <x:v>0.034999999999999996</x:v>
      </x:c>
      <x:c r="X147" s="49" t="n">
        <x:f>MIN('Assumptions'!$B$11,V147/100*'Assumptions'!$B$10)</x:f>
        <x:v>0.07800000000000001</x:v>
      </x:c>
      <x:c r="Y147" s="41" t="n">
        <x:v>52</x:v>
      </x:c>
      <x:c r="Z147" s="41" t="n">
        <x:v>33</x:v>
      </x:c>
      <x:c r="AA147" s="50" t="n">
        <x:f>K147*O147*Q147</x:f>
        <x:v>2919.6</x:v>
      </x:c>
      <x:c r="AB147" s="50" t="n">
        <x:f>L147*O147*Q147</x:f>
        <x:v>5255.28</x:v>
      </x:c>
      <x:c r="AC147" s="50" t="n">
        <x:f>M147*O147*Q147</x:f>
        <x:v>9488.699999999999</x:v>
      </x:c>
      <x:c r="AD147" s="50" t="n">
        <x:f>AB147*N147</x:f>
        <x:v>42042.24</x:v>
      </x:c>
      <x:c r="AE147" s="50" t="n">
        <x:f>MAX(0,N147*(AB147*W147-S147*O147-T147))</x:f>
        <x:v>0</x:v>
      </x:c>
      <x:c r="AF147" s="50" t="n">
        <x:f>MAX(0,N147*(AB147*X147-S147*O147-T147))</x:f>
        <x:v>0</x:v>
      </x:c>
      <x:c r="AG147" s="47" t="n">
        <x:f>(RANK.EQ(AD147,$AD$5:$AD$157,1)-1)/(COUNT($AD$5:$AD$157)-1)*100</x:f>
        <x:v>5.921052631578947</x:v>
      </x:c>
      <x:c r="AH147" s="47" t="n">
        <x:f>MAX(0,MIN(100,AG147*'Assumptions'!$B$5+V147*'Assumptions'!$B$6+Y147*'Assumptions'!$B$7+Z147*'Assumptions'!$B$8-(Q147-1)*'Assumptions'!$B$12))</x:f>
        <x:v>24.080263157894738</x:v>
      </x:c>
      <x:c r="AI147" s="51" t="str">
        <x:v>Low</x:v>
      </x:c>
      <x:c r="AJ147" s="51" t="str">
        <x:v>Professional desktop applications remain difficult for agents because state, files, and visual QA must stay synchronized.</x:v>
      </x:c>
      <x:c r="AK147" s="53" t="str">
        <x:f>IF(AND(AH147&gt;=75,V147&gt;=65,Z147&gt;=60),"Build now",IF(AND(AH147&gt;=60,V147&gt;=50),"Validate next",IF(AH147&gt;=50,"Partner or monitor","Deprioritize")))</x:f>
        <x:v>Deprioritize</x:v>
      </x:c>
      <x:c r="AL147" s="51" t="str">
        <x:v>Useful copilot for parts of the workflow; close supervision is required. Application control and visual QA are major blockers.</x:v>
      </x:c>
      <x:c r="AM147" s="51" t="str">
        <x:v>/Users/jaibhagat/code/prismml/agents-last-exam/tasks/visual_media/uv_reproduction/task_card.json</x:v>
      </x:c>
    </x:row>
    <x:row r="148">
      <x:c r="A148" s="40" t="n">
        <x:f>COUNTIF($AH$5:$AH$157,"&gt;"&amp;AH148)+COUNTIF($AH$5:AH148,AH148)</x:f>
        <x:v>145</x:v>
      </x:c>
      <x:c r="B148" s="51" t="str">
        <x:v>visual_media/skeletal_animation_reproduction</x:v>
      </x:c>
      <x:c r="C148" s="51" t="str">
        <x:v>Skeletal Animation Reproduction</x:v>
      </x:c>
      <x:c r="D148" s="51" t="str">
        <x:v>visual_media</x:v>
      </x:c>
      <x:c r="E148" s="51" t="str">
        <x:v>3D, Animation &amp; Interactive Media</x:v>
      </x:c>
      <x:c r="F148" s="51" t="str">
        <x:v>GUI and specialist application workflow</x:v>
      </x:c>
      <x:c r="G148" s="51" t="str">
        <x:v>Designer, animator, or media specialist</x:v>
      </x:c>
      <x:c r="H148" s="51" t="str">
        <x:v>Professional and related</x:v>
      </x:c>
      <x:c r="I148" s="52" t="n">
        <x:v>1</x:v>
      </x:c>
      <x:c r="J148" s="51" t="str">
        <x:v>GUI-created professional artifact</x:v>
      </x:c>
      <x:c r="K148" s="43" t="n">
        <x:v>40</x:v>
      </x:c>
      <x:c r="L148" s="43" t="n">
        <x:v>72</x:v>
      </x:c>
      <x:c r="M148" s="43" t="n">
        <x:v>130</x:v>
      </x:c>
      <x:c r="N148" s="43" t="n">
        <x:v>8</x:v>
      </x:c>
      <x:c r="O148" s="44" t="n">
        <x:f>INDEX('Assumptions'!$B$24:$B$29,MATCH(H148,'Assumptions'!$A$24:$A$29,0))*I148</x:f>
        <x:v>72.99</x:v>
      </x:c>
      <x:c r="P148" s="41" t="str">
        <x:v>Low</x:v>
      </x:c>
      <x:c r="Q148" s="45" t="n">
        <x:f>INDEX('Assumptions'!$B$18:$B$21,MATCH(P148,'Assumptions'!$A$18:$A$21,0))</x:f>
        <x:v>1</x:v>
      </x:c>
      <x:c r="R148" s="46" t="n">
        <x:v>0.1</x:v>
      </x:c>
      <x:c r="S148" s="47" t="n">
        <x:f>L148*R148</x:f>
        <x:v>7.2</x:v>
      </x:c>
      <x:c r="T148" s="48" t="n">
        <x:v>50</x:v>
      </x:c>
      <x:c r="U148" s="41" t="n">
        <x:v>2</x:v>
      </x:c>
      <x:c r="V148" s="41" t="n">
        <x:v>10</x:v>
      </x:c>
      <x:c r="W148" s="49" t="n">
        <x:f>V148/100*'Assumptions'!$B$9</x:f>
        <x:v>0.034999999999999996</x:v>
      </x:c>
      <x:c r="X148" s="49" t="n">
        <x:f>MIN('Assumptions'!$B$11,V148/100*'Assumptions'!$B$10)</x:f>
        <x:v>0.07800000000000001</x:v>
      </x:c>
      <x:c r="Y148" s="41" t="n">
        <x:v>52</x:v>
      </x:c>
      <x:c r="Z148" s="41" t="n">
        <x:v>33</x:v>
      </x:c>
      <x:c r="AA148" s="50" t="n">
        <x:f>K148*O148*Q148</x:f>
        <x:v>2919.6</x:v>
      </x:c>
      <x:c r="AB148" s="50" t="n">
        <x:f>L148*O148*Q148</x:f>
        <x:v>5255.28</x:v>
      </x:c>
      <x:c r="AC148" s="50" t="n">
        <x:f>M148*O148*Q148</x:f>
        <x:v>9488.699999999999</x:v>
      </x:c>
      <x:c r="AD148" s="50" t="n">
        <x:f>AB148*N148</x:f>
        <x:v>42042.24</x:v>
      </x:c>
      <x:c r="AE148" s="50" t="n">
        <x:f>MAX(0,N148*(AB148*W148-S148*O148-T148))</x:f>
        <x:v>0</x:v>
      </x:c>
      <x:c r="AF148" s="50" t="n">
        <x:f>MAX(0,N148*(AB148*X148-S148*O148-T148))</x:f>
        <x:v>0</x:v>
      </x:c>
      <x:c r="AG148" s="47" t="n">
        <x:f>(RANK.EQ(AD148,$AD$5:$AD$157,1)-1)/(COUNT($AD$5:$AD$157)-1)*100</x:f>
        <x:v>5.921052631578947</x:v>
      </x:c>
      <x:c r="AH148" s="47" t="n">
        <x:f>MAX(0,MIN(100,AG148*'Assumptions'!$B$5+V148*'Assumptions'!$B$6+Y148*'Assumptions'!$B$7+Z148*'Assumptions'!$B$8-(Q148-1)*'Assumptions'!$B$12))</x:f>
        <x:v>24.080263157894738</x:v>
      </x:c>
      <x:c r="AI148" s="51" t="str">
        <x:v>Low</x:v>
      </x:c>
      <x:c r="AJ148" s="51" t="str">
        <x:v>Professional desktop applications remain difficult for agents because state, files, and visual QA must stay synchronized.</x:v>
      </x:c>
      <x:c r="AK148" s="53" t="str">
        <x:f>IF(AND(AH148&gt;=75,V148&gt;=65,Z148&gt;=60),"Build now",IF(AND(AH148&gt;=60,V148&gt;=50),"Validate next",IF(AH148&gt;=50,"Partner or monitor","Deprioritize")))</x:f>
        <x:v>Deprioritize</x:v>
      </x:c>
      <x:c r="AL148" s="51" t="str">
        <x:v>Useful copilot for parts of the workflow; close supervision is required. Application control and visual QA are major blockers.</x:v>
      </x:c>
      <x:c r="AM148" s="51" t="str">
        <x:v>/Users/jaibhagat/code/prismml/agents-last-exam/tasks/visual_media/skeletal_animation_reproduction/task_card.json</x:v>
      </x:c>
    </x:row>
    <x:row r="149">
      <x:c r="A149" s="40" t="n">
        <x:f>COUNTIF($AH$5:$AH$157,"&gt;"&amp;AH149)+COUNTIF($AH$5:AH149,AH149)</x:f>
        <x:v>143</x:v>
      </x:c>
      <x:c r="B149" s="51" t="str">
        <x:v>engineering/Analog_Active</x:v>
      </x:c>
      <x:c r="C149" s="51" t="str">
        <x:v>Analog Active</x:v>
      </x:c>
      <x:c r="D149" s="51" t="str">
        <x:v>engineering</x:v>
      </x:c>
      <x:c r="E149" s="51" t="str">
        <x:v>Electronics Engineering</x:v>
      </x:c>
      <x:c r="F149" s="51" t="str">
        <x:v>GUI and specialist application workflow</x:v>
      </x:c>
      <x:c r="G149" s="51" t="str">
        <x:v>Specialist engineer</x:v>
      </x:c>
      <x:c r="H149" s="51" t="str">
        <x:v>Professional and related</x:v>
      </x:c>
      <x:c r="I149" s="52" t="n">
        <x:v>1.2</x:v>
      </x:c>
      <x:c r="J149" s="51" t="str">
        <x:v>GUI-created professional artifact</x:v>
      </x:c>
      <x:c r="K149" s="43" t="n">
        <x:v>40</x:v>
      </x:c>
      <x:c r="L149" s="43" t="n">
        <x:v>72</x:v>
      </x:c>
      <x:c r="M149" s="43" t="n">
        <x:v>130</x:v>
      </x:c>
      <x:c r="N149" s="43" t="n">
        <x:v>8</x:v>
      </x:c>
      <x:c r="O149" s="44" t="n">
        <x:f>INDEX('Assumptions'!$B$24:$B$29,MATCH(H149,'Assumptions'!$A$24:$A$29,0))*I149</x:f>
        <x:v>87.588</x:v>
      </x:c>
      <x:c r="P149" s="41" t="str">
        <x:v>Critical</x:v>
      </x:c>
      <x:c r="Q149" s="45" t="n">
        <x:f>INDEX('Assumptions'!$B$18:$B$21,MATCH(P149,'Assumptions'!$A$18:$A$21,0))</x:f>
        <x:v>2.2</x:v>
      </x:c>
      <x:c r="R149" s="46" t="n">
        <x:v>0.4</x:v>
      </x:c>
      <x:c r="S149" s="47" t="n">
        <x:f>L149*R149</x:f>
        <x:v>28.8</x:v>
      </x:c>
      <x:c r="T149" s="48" t="n">
        <x:v>50</x:v>
      </x:c>
      <x:c r="U149" s="41" t="n">
        <x:v>1</x:v>
      </x:c>
      <x:c r="V149" s="41" t="n">
        <x:v>5</x:v>
      </x:c>
      <x:c r="W149" s="49" t="n">
        <x:f>V149/100*'Assumptions'!$B$9</x:f>
        <x:v>0.017499999999999998</x:v>
      </x:c>
      <x:c r="X149" s="49" t="n">
        <x:f>MIN('Assumptions'!$B$11,V149/100*'Assumptions'!$B$10)</x:f>
        <x:v>0.03900000000000001</x:v>
      </x:c>
      <x:c r="Y149" s="41" t="n">
        <x:v>52</x:v>
      </x:c>
      <x:c r="Z149" s="41" t="n">
        <x:v>13</x:v>
      </x:c>
      <x:c r="AA149" s="50" t="n">
        <x:f>K149*O149*Q149</x:f>
        <x:v>7707.744</x:v>
      </x:c>
      <x:c r="AB149" s="50" t="n">
        <x:f>L149*O149*Q149</x:f>
        <x:v>13873.939199999999</x:v>
      </x:c>
      <x:c r="AC149" s="50" t="n">
        <x:f>M149*O149*Q149</x:f>
        <x:v>25050.167999999998</x:v>
      </x:c>
      <x:c r="AD149" s="50" t="n">
        <x:f>AB149*N149</x:f>
        <x:v>110991.51359999999</x:v>
      </x:c>
      <x:c r="AE149" s="50" t="n">
        <x:f>MAX(0,N149*(AB149*W149-S149*O149-T149))</x:f>
        <x:v>0</x:v>
      </x:c>
      <x:c r="AF149" s="50" t="n">
        <x:f>MAX(0,N149*(AB149*X149-S149*O149-T149))</x:f>
        <x:v>0</x:v>
      </x:c>
      <x:c r="AG149" s="47" t="n">
        <x:f>(RANK.EQ(AD149,$AD$5:$AD$157,1)-1)/(COUNT($AD$5:$AD$157)-1)*100</x:f>
        <x:v>69.73684210526315</x:v>
      </x:c>
      <x:c r="AH149" s="47" t="n">
        <x:f>MAX(0,MIN(100,AG149*'Assumptions'!$B$5+V149*'Assumptions'!$B$6+Y149*'Assumptions'!$B$7+Z149*'Assumptions'!$B$8-(Q149-1)*'Assumptions'!$B$12))</x:f>
        <x:v>24.934210526315788</x:v>
      </x:c>
      <x:c r="AI149" s="51" t="str">
        <x:v>Low</x:v>
      </x:c>
      <x:c r="AJ149" s="51" t="str">
        <x:v>Professional desktop applications remain difficult for agents because state, files, and visual QA must stay synchronized.</x:v>
      </x:c>
      <x:c r="AK149" s="53" t="str">
        <x:f>IF(AND(AH149&gt;=75,V149&gt;=65,Z149&gt;=60),"Build now",IF(AND(AH149&gt;=60,V149&gt;=50),"Validate next",IF(AH149&gt;=50,"Partner or monitor","Deprioritize")))</x:f>
        <x:v>Deprioritize</x:v>
      </x:c>
      <x:c r="AL149" s="51" t="str">
        <x:v>Research demonstration; substantial manual execution remains. Accountable professional signoff remains necessary. Application control and visual QA are major blockers.</x:v>
      </x:c>
      <x:c r="AM149" s="51" t="str">
        <x:v>/Users/jaibhagat/code/prismml/agents-last-exam/tasks/engineering/Analog_Active/task_card.json</x:v>
      </x:c>
    </x:row>
    <x:row r="150">
      <x:c r="A150" s="40" t="n">
        <x:f>COUNTIF($AH$5:$AH$157,"&gt;"&amp;AH150)+COUNTIF($AH$5:AH150,AH150)</x:f>
        <x:v>148</x:v>
      </x:c>
      <x:c r="B150" s="51" t="str">
        <x:v>visual_media/project_migration</x:v>
      </x:c>
      <x:c r="C150" s="51" t="str">
        <x:v>Cubase Project Migration</x:v>
      </x:c>
      <x:c r="D150" s="51" t="str">
        <x:v>visual_media</x:v>
      </x:c>
      <x:c r="E150" s="51" t="str">
        <x:v>Audio, Music &amp; Post-Production Media</x:v>
      </x:c>
      <x:c r="F150" s="51" t="str">
        <x:v>GUI and specialist application workflow</x:v>
      </x:c>
      <x:c r="G150" s="51" t="str">
        <x:v>Designer, animator, or media specialist</x:v>
      </x:c>
      <x:c r="H150" s="51" t="str">
        <x:v>Professional and related</x:v>
      </x:c>
      <x:c r="I150" s="52" t="n">
        <x:v>1</x:v>
      </x:c>
      <x:c r="J150" s="51" t="str">
        <x:v>GUI-created professional artifact</x:v>
      </x:c>
      <x:c r="K150" s="43" t="n">
        <x:v>40</x:v>
      </x:c>
      <x:c r="L150" s="43" t="n">
        <x:v>72</x:v>
      </x:c>
      <x:c r="M150" s="43" t="n">
        <x:v>130</x:v>
      </x:c>
      <x:c r="N150" s="43" t="n">
        <x:v>8</x:v>
      </x:c>
      <x:c r="O150" s="44" t="n">
        <x:f>INDEX('Assumptions'!$B$24:$B$29,MATCH(H150,'Assumptions'!$A$24:$A$29,0))*I150</x:f>
        <x:v>72.99</x:v>
      </x:c>
      <x:c r="P150" s="41" t="str">
        <x:v>Low</x:v>
      </x:c>
      <x:c r="Q150" s="45" t="n">
        <x:f>INDEX('Assumptions'!$B$18:$B$21,MATCH(P150,'Assumptions'!$A$18:$A$21,0))</x:f>
        <x:v>1</x:v>
      </x:c>
      <x:c r="R150" s="46" t="n">
        <x:v>0.1</x:v>
      </x:c>
      <x:c r="S150" s="47" t="n">
        <x:f>L150*R150</x:f>
        <x:v>7.2</x:v>
      </x:c>
      <x:c r="T150" s="48" t="n">
        <x:v>50</x:v>
      </x:c>
      <x:c r="U150" s="41" t="n">
        <x:v>2</x:v>
      </x:c>
      <x:c r="V150" s="41" t="n">
        <x:v>10</x:v>
      </x:c>
      <x:c r="W150" s="49" t="n">
        <x:f>V150/100*'Assumptions'!$B$9</x:f>
        <x:v>0.034999999999999996</x:v>
      </x:c>
      <x:c r="X150" s="49" t="n">
        <x:f>MIN('Assumptions'!$B$11,V150/100*'Assumptions'!$B$10)</x:f>
        <x:v>0.07800000000000001</x:v>
      </x:c>
      <x:c r="Y150" s="41" t="n">
        <x:v>52</x:v>
      </x:c>
      <x:c r="Z150" s="41" t="n">
        <x:v>28</x:v>
      </x:c>
      <x:c r="AA150" s="50" t="n">
        <x:f>K150*O150*Q150</x:f>
        <x:v>2919.6</x:v>
      </x:c>
      <x:c r="AB150" s="50" t="n">
        <x:f>L150*O150*Q150</x:f>
        <x:v>5255.28</x:v>
      </x:c>
      <x:c r="AC150" s="50" t="n">
        <x:f>M150*O150*Q150</x:f>
        <x:v>9488.699999999999</x:v>
      </x:c>
      <x:c r="AD150" s="50" t="n">
        <x:f>AB150*N150</x:f>
        <x:v>42042.24</x:v>
      </x:c>
      <x:c r="AE150" s="50" t="n">
        <x:f>MAX(0,N150*(AB150*W150-S150*O150-T150))</x:f>
        <x:v>0</x:v>
      </x:c>
      <x:c r="AF150" s="50" t="n">
        <x:f>MAX(0,N150*(AB150*X150-S150*O150-T150))</x:f>
        <x:v>0</x:v>
      </x:c>
      <x:c r="AG150" s="47" t="n">
        <x:f>(RANK.EQ(AD150,$AD$5:$AD$157,1)-1)/(COUNT($AD$5:$AD$157)-1)*100</x:f>
        <x:v>5.921052631578947</x:v>
      </x:c>
      <x:c r="AH150" s="47" t="n">
        <x:f>MAX(0,MIN(100,AG150*'Assumptions'!$B$5+V150*'Assumptions'!$B$6+Y150*'Assumptions'!$B$7+Z150*'Assumptions'!$B$8-(Q150-1)*'Assumptions'!$B$12))</x:f>
        <x:v>23.080263157894738</x:v>
      </x:c>
      <x:c r="AI150" s="51" t="str">
        <x:v>Low</x:v>
      </x:c>
      <x:c r="AJ150" s="51" t="str">
        <x:v>Professional desktop applications remain difficult for agents because state, files, and visual QA must stay synchronized.</x:v>
      </x:c>
      <x:c r="AK150" s="53" t="str">
        <x:f>IF(AND(AH150&gt;=75,V150&gt;=65,Z150&gt;=60),"Build now",IF(AND(AH150&gt;=60,V150&gt;=50),"Validate next",IF(AH150&gt;=50,"Partner or monitor","Deprioritize")))</x:f>
        <x:v>Deprioritize</x:v>
      </x:c>
      <x:c r="AL150" s="51" t="str">
        <x:v>Useful copilot for parts of the workflow; close supervision is required. Application control and visual QA are major blockers.</x:v>
      </x:c>
      <x:c r="AM150" s="51" t="str">
        <x:v>/Users/jaibhagat/code/prismml/agents-last-exam/tasks/visual_media/project_migration/task_card.json</x:v>
      </x:c>
    </x:row>
    <x:row r="151">
      <x:c r="A151" s="40" t="n">
        <x:f>COUNTIF($AH$5:$AH$157,"&gt;"&amp;AH151)+COUNTIF($AH$5:AH151,AH151)</x:f>
        <x:v>146</x:v>
      </x:c>
      <x:c r="B151" s="51" t="str">
        <x:v>other/aerobics_wc2026_portugal_trio_difficulty_scoring</x:v>
      </x:c>
      <x:c r="C151" s="51" t="str">
        <x:v>Aerobics World Cup Trio Difficulty Scoring</x:v>
      </x:c>
      <x:c r="D151" s="51" t="str">
        <x:v>other</x:v>
      </x:c>
      <x:c r="E151" s="51" t="str">
        <x:v>Sports</x:v>
      </x:c>
      <x:c r="F151" s="51" t="str">
        <x:v>GUI and specialist application workflow</x:v>
      </x:c>
      <x:c r="G151" s="51" t="str">
        <x:v>Specialist professional</x:v>
      </x:c>
      <x:c r="H151" s="51" t="str">
        <x:v>Professional and related</x:v>
      </x:c>
      <x:c r="I151" s="52" t="n">
        <x:v>1</x:v>
      </x:c>
      <x:c r="J151" s="51" t="str">
        <x:v>GUI-created professional artifact</x:v>
      </x:c>
      <x:c r="K151" s="43" t="n">
        <x:v>40</x:v>
      </x:c>
      <x:c r="L151" s="43" t="n">
        <x:v>72</x:v>
      </x:c>
      <x:c r="M151" s="43" t="n">
        <x:v>130</x:v>
      </x:c>
      <x:c r="N151" s="43" t="n">
        <x:v>8</x:v>
      </x:c>
      <x:c r="O151" s="44" t="n">
        <x:f>INDEX('Assumptions'!$B$24:$B$29,MATCH(H151,'Assumptions'!$A$24:$A$29,0))*I151</x:f>
        <x:v>72.99</x:v>
      </x:c>
      <x:c r="P151" s="41" t="str">
        <x:v>Low</x:v>
      </x:c>
      <x:c r="Q151" s="45" t="n">
        <x:f>INDEX('Assumptions'!$B$18:$B$21,MATCH(P151,'Assumptions'!$A$18:$A$21,0))</x:f>
        <x:v>1</x:v>
      </x:c>
      <x:c r="R151" s="46" t="n">
        <x:v>0.1</x:v>
      </x:c>
      <x:c r="S151" s="47" t="n">
        <x:f>L151*R151</x:f>
        <x:v>7.2</x:v>
      </x:c>
      <x:c r="T151" s="48" t="n">
        <x:v>50</x:v>
      </x:c>
      <x:c r="U151" s="41" t="n">
        <x:v>2</x:v>
      </x:c>
      <x:c r="V151" s="41" t="n">
        <x:v>10</x:v>
      </x:c>
      <x:c r="W151" s="49" t="n">
        <x:f>V151/100*'Assumptions'!$B$9</x:f>
        <x:v>0.034999999999999996</x:v>
      </x:c>
      <x:c r="X151" s="49" t="n">
        <x:f>MIN('Assumptions'!$B$11,V151/100*'Assumptions'!$B$10)</x:f>
        <x:v>0.07800000000000001</x:v>
      </x:c>
      <x:c r="Y151" s="41" t="n">
        <x:v>52</x:v>
      </x:c>
      <x:c r="Z151" s="41" t="n">
        <x:v>33</x:v>
      </x:c>
      <x:c r="AA151" s="50" t="n">
        <x:f>K151*O151*Q151</x:f>
        <x:v>2919.6</x:v>
      </x:c>
      <x:c r="AB151" s="50" t="n">
        <x:f>L151*O151*Q151</x:f>
        <x:v>5255.28</x:v>
      </x:c>
      <x:c r="AC151" s="50" t="n">
        <x:f>M151*O151*Q151</x:f>
        <x:v>9488.699999999999</x:v>
      </x:c>
      <x:c r="AD151" s="50" t="n">
        <x:f>AB151*N151</x:f>
        <x:v>42042.24</x:v>
      </x:c>
      <x:c r="AE151" s="50" t="n">
        <x:f>MAX(0,N151*(AB151*W151-S151*O151-T151))</x:f>
        <x:v>0</x:v>
      </x:c>
      <x:c r="AF151" s="50" t="n">
        <x:f>MAX(0,N151*(AB151*X151-S151*O151-T151))</x:f>
        <x:v>0</x:v>
      </x:c>
      <x:c r="AG151" s="47" t="n">
        <x:f>(RANK.EQ(AD151,$AD$5:$AD$157,1)-1)/(COUNT($AD$5:$AD$157)-1)*100</x:f>
        <x:v>5.921052631578947</x:v>
      </x:c>
      <x:c r="AH151" s="47" t="n">
        <x:f>MAX(0,MIN(100,AG151*'Assumptions'!$B$5+V151*'Assumptions'!$B$6+Y151*'Assumptions'!$B$7+Z151*'Assumptions'!$B$8-(Q151-1)*'Assumptions'!$B$12))</x:f>
        <x:v>24.080263157894738</x:v>
      </x:c>
      <x:c r="AI151" s="51" t="str">
        <x:v>Low</x:v>
      </x:c>
      <x:c r="AJ151" s="51" t="str">
        <x:v>Professional desktop applications remain difficult for agents because state, files, and visual QA must stay synchronized.</x:v>
      </x:c>
      <x:c r="AK151" s="53" t="str">
        <x:f>IF(AND(AH151&gt;=75,V151&gt;=65,Z151&gt;=60),"Build now",IF(AND(AH151&gt;=60,V151&gt;=50),"Validate next",IF(AH151&gt;=50,"Partner or monitor","Deprioritize")))</x:f>
        <x:v>Deprioritize</x:v>
      </x:c>
      <x:c r="AL151" s="51" t="str">
        <x:v>Useful copilot for parts of the workflow; close supervision is required. Application control and visual QA are major blockers.</x:v>
      </x:c>
      <x:c r="AM151" s="51" t="str">
        <x:v>/Users/jaibhagat/code/prismml/agents-last-exam/tasks/other/aerobics_wc2026_portugal_trio_difficulty_scoring/task_card.json</x:v>
      </x:c>
    </x:row>
    <x:row r="152">
      <x:c r="A152" s="40" t="n">
        <x:f>COUNTIF($AH$5:$AH$157,"&gt;"&amp;AH152)+COUNTIF($AH$5:AH152,AH152)</x:f>
        <x:v>149</x:v>
      </x:c>
      <x:c r="B152" s="51" t="str">
        <x:v>visual_media/human_mesh_animation_reproduction</x:v>
      </x:c>
      <x:c r="C152" s="51" t="str">
        <x:v>Human Mesh Animation Reproduction</x:v>
      </x:c>
      <x:c r="D152" s="51" t="str">
        <x:v>visual_media</x:v>
      </x:c>
      <x:c r="E152" s="51" t="str">
        <x:v>3D, Animation &amp; Interactive Media</x:v>
      </x:c>
      <x:c r="F152" s="51" t="str">
        <x:v>GUI and specialist application workflow</x:v>
      </x:c>
      <x:c r="G152" s="51" t="str">
        <x:v>Designer, animator, or media specialist</x:v>
      </x:c>
      <x:c r="H152" s="51" t="str">
        <x:v>Professional and related</x:v>
      </x:c>
      <x:c r="I152" s="52" t="n">
        <x:v>1</x:v>
      </x:c>
      <x:c r="J152" s="51" t="str">
        <x:v>GUI-created professional artifact</x:v>
      </x:c>
      <x:c r="K152" s="43" t="n">
        <x:v>40</x:v>
      </x:c>
      <x:c r="L152" s="43" t="n">
        <x:v>72</x:v>
      </x:c>
      <x:c r="M152" s="43" t="n">
        <x:v>130</x:v>
      </x:c>
      <x:c r="N152" s="43" t="n">
        <x:v>8</x:v>
      </x:c>
      <x:c r="O152" s="44" t="n">
        <x:f>INDEX('Assumptions'!$B$24:$B$29,MATCH(H152,'Assumptions'!$A$24:$A$29,0))*I152</x:f>
        <x:v>72.99</x:v>
      </x:c>
      <x:c r="P152" s="41" t="str">
        <x:v>Low</x:v>
      </x:c>
      <x:c r="Q152" s="45" t="n">
        <x:f>INDEX('Assumptions'!$B$18:$B$21,MATCH(P152,'Assumptions'!$A$18:$A$21,0))</x:f>
        <x:v>1</x:v>
      </x:c>
      <x:c r="R152" s="46" t="n">
        <x:v>0.1</x:v>
      </x:c>
      <x:c r="S152" s="47" t="n">
        <x:f>L152*R152</x:f>
        <x:v>7.2</x:v>
      </x:c>
      <x:c r="T152" s="48" t="n">
        <x:v>50</x:v>
      </x:c>
      <x:c r="U152" s="41" t="n">
        <x:v>2</x:v>
      </x:c>
      <x:c r="V152" s="41" t="n">
        <x:v>10</x:v>
      </x:c>
      <x:c r="W152" s="49" t="n">
        <x:f>V152/100*'Assumptions'!$B$9</x:f>
        <x:v>0.034999999999999996</x:v>
      </x:c>
      <x:c r="X152" s="49" t="n">
        <x:f>MIN('Assumptions'!$B$11,V152/100*'Assumptions'!$B$10)</x:f>
        <x:v>0.07800000000000001</x:v>
      </x:c>
      <x:c r="Y152" s="41" t="n">
        <x:v>52</x:v>
      </x:c>
      <x:c r="Z152" s="41" t="n">
        <x:v>28</x:v>
      </x:c>
      <x:c r="AA152" s="50" t="n">
        <x:f>K152*O152*Q152</x:f>
        <x:v>2919.6</x:v>
      </x:c>
      <x:c r="AB152" s="50" t="n">
        <x:f>L152*O152*Q152</x:f>
        <x:v>5255.28</x:v>
      </x:c>
      <x:c r="AC152" s="50" t="n">
        <x:f>M152*O152*Q152</x:f>
        <x:v>9488.699999999999</x:v>
      </x:c>
      <x:c r="AD152" s="50" t="n">
        <x:f>AB152*N152</x:f>
        <x:v>42042.24</x:v>
      </x:c>
      <x:c r="AE152" s="50" t="n">
        <x:f>MAX(0,N152*(AB152*W152-S152*O152-T152))</x:f>
        <x:v>0</x:v>
      </x:c>
      <x:c r="AF152" s="50" t="n">
        <x:f>MAX(0,N152*(AB152*X152-S152*O152-T152))</x:f>
        <x:v>0</x:v>
      </x:c>
      <x:c r="AG152" s="47" t="n">
        <x:f>(RANK.EQ(AD152,$AD$5:$AD$157,1)-1)/(COUNT($AD$5:$AD$157)-1)*100</x:f>
        <x:v>5.921052631578947</x:v>
      </x:c>
      <x:c r="AH152" s="47" t="n">
        <x:f>MAX(0,MIN(100,AG152*'Assumptions'!$B$5+V152*'Assumptions'!$B$6+Y152*'Assumptions'!$B$7+Z152*'Assumptions'!$B$8-(Q152-1)*'Assumptions'!$B$12))</x:f>
        <x:v>23.080263157894738</x:v>
      </x:c>
      <x:c r="AI152" s="51" t="str">
        <x:v>Low</x:v>
      </x:c>
      <x:c r="AJ152" s="51" t="str">
        <x:v>Professional desktop applications remain difficult for agents because state, files, and visual QA must stay synchronized.</x:v>
      </x:c>
      <x:c r="AK152" s="53" t="str">
        <x:f>IF(AND(AH152&gt;=75,V152&gt;=65,Z152&gt;=60),"Build now",IF(AND(AH152&gt;=60,V152&gt;=50),"Validate next",IF(AH152&gt;=50,"Partner or monitor","Deprioritize")))</x:f>
        <x:v>Deprioritize</x:v>
      </x:c>
      <x:c r="AL152" s="51" t="str">
        <x:v>Useful copilot for parts of the workflow; close supervision is required. Application control and visual QA are major blockers.</x:v>
      </x:c>
      <x:c r="AM152" s="51" t="str">
        <x:v>/Users/jaibhagat/code/prismml/agents-last-exam/tasks/visual_media/human_mesh_animation_reproduction/task_card.json</x:v>
      </x:c>
    </x:row>
    <x:row r="153">
      <x:c r="A153" s="40" t="n">
        <x:f>COUNTIF($AH$5:$AH$157,"&gt;"&amp;AH153)+COUNTIF($AH$5:AH153,AH153)</x:f>
        <x:v>150</x:v>
      </x:c>
      <x:c r="B153" s="51" t="str">
        <x:v>visual_media/chroma_key_from_reference</x:v>
      </x:c>
      <x:c r="C153" s="51" t="str">
        <x:v>chroma_key_from_reference</x:v>
      </x:c>
      <x:c r="D153" s="51" t="str">
        <x:v>visual_media</x:v>
      </x:c>
      <x:c r="E153" s="51" t="str">
        <x:v>3D, Animation &amp; Interactive Media</x:v>
      </x:c>
      <x:c r="F153" s="51" t="str">
        <x:v>GUI and specialist application workflow</x:v>
      </x:c>
      <x:c r="G153" s="51" t="str">
        <x:v>Designer, animator, or media specialist</x:v>
      </x:c>
      <x:c r="H153" s="51" t="str">
        <x:v>Professional and related</x:v>
      </x:c>
      <x:c r="I153" s="52" t="n">
        <x:v>1</x:v>
      </x:c>
      <x:c r="J153" s="51" t="str">
        <x:v>GUI-created professional artifact</x:v>
      </x:c>
      <x:c r="K153" s="43" t="n">
        <x:v>40</x:v>
      </x:c>
      <x:c r="L153" s="43" t="n">
        <x:v>72</x:v>
      </x:c>
      <x:c r="M153" s="43" t="n">
        <x:v>130</x:v>
      </x:c>
      <x:c r="N153" s="43" t="n">
        <x:v>8</x:v>
      </x:c>
      <x:c r="O153" s="44" t="n">
        <x:f>INDEX('Assumptions'!$B$24:$B$29,MATCH(H153,'Assumptions'!$A$24:$A$29,0))*I153</x:f>
        <x:v>72.99</x:v>
      </x:c>
      <x:c r="P153" s="41" t="str">
        <x:v>Low</x:v>
      </x:c>
      <x:c r="Q153" s="45" t="n">
        <x:f>INDEX('Assumptions'!$B$18:$B$21,MATCH(P153,'Assumptions'!$A$18:$A$21,0))</x:f>
        <x:v>1</x:v>
      </x:c>
      <x:c r="R153" s="46" t="n">
        <x:v>0.1</x:v>
      </x:c>
      <x:c r="S153" s="47" t="n">
        <x:f>L153*R153</x:f>
        <x:v>7.2</x:v>
      </x:c>
      <x:c r="T153" s="48" t="n">
        <x:v>50</x:v>
      </x:c>
      <x:c r="U153" s="41" t="n">
        <x:v>2</x:v>
      </x:c>
      <x:c r="V153" s="41" t="n">
        <x:v>10</x:v>
      </x:c>
      <x:c r="W153" s="49" t="n">
        <x:f>V153/100*'Assumptions'!$B$9</x:f>
        <x:v>0.034999999999999996</x:v>
      </x:c>
      <x:c r="X153" s="49" t="n">
        <x:f>MIN('Assumptions'!$B$11,V153/100*'Assumptions'!$B$10)</x:f>
        <x:v>0.07800000000000001</x:v>
      </x:c>
      <x:c r="Y153" s="41" t="n">
        <x:v>52</x:v>
      </x:c>
      <x:c r="Z153" s="41" t="n">
        <x:v>28</x:v>
      </x:c>
      <x:c r="AA153" s="50" t="n">
        <x:f>K153*O153*Q153</x:f>
        <x:v>2919.6</x:v>
      </x:c>
      <x:c r="AB153" s="50" t="n">
        <x:f>L153*O153*Q153</x:f>
        <x:v>5255.28</x:v>
      </x:c>
      <x:c r="AC153" s="50" t="n">
        <x:f>M153*O153*Q153</x:f>
        <x:v>9488.699999999999</x:v>
      </x:c>
      <x:c r="AD153" s="50" t="n">
        <x:f>AB153*N153</x:f>
        <x:v>42042.24</x:v>
      </x:c>
      <x:c r="AE153" s="50" t="n">
        <x:f>MAX(0,N153*(AB153*W153-S153*O153-T153))</x:f>
        <x:v>0</x:v>
      </x:c>
      <x:c r="AF153" s="50" t="n">
        <x:f>MAX(0,N153*(AB153*X153-S153*O153-T153))</x:f>
        <x:v>0</x:v>
      </x:c>
      <x:c r="AG153" s="47" t="n">
        <x:f>(RANK.EQ(AD153,$AD$5:$AD$157,1)-1)/(COUNT($AD$5:$AD$157)-1)*100</x:f>
        <x:v>5.921052631578947</x:v>
      </x:c>
      <x:c r="AH153" s="47" t="n">
        <x:f>MAX(0,MIN(100,AG153*'Assumptions'!$B$5+V153*'Assumptions'!$B$6+Y153*'Assumptions'!$B$7+Z153*'Assumptions'!$B$8-(Q153-1)*'Assumptions'!$B$12))</x:f>
        <x:v>23.080263157894738</x:v>
      </x:c>
      <x:c r="AI153" s="51" t="str">
        <x:v>Low</x:v>
      </x:c>
      <x:c r="AJ153" s="51" t="str">
        <x:v>Professional desktop applications remain difficult for agents because state, files, and visual QA must stay synchronized.</x:v>
      </x:c>
      <x:c r="AK153" s="53" t="str">
        <x:f>IF(AND(AH153&gt;=75,V153&gt;=65,Z153&gt;=60),"Build now",IF(AND(AH153&gt;=60,V153&gt;=50),"Validate next",IF(AH153&gt;=50,"Partner or monitor","Deprioritize")))</x:f>
        <x:v>Deprioritize</x:v>
      </x:c>
      <x:c r="AL153" s="51" t="str">
        <x:v>Useful copilot for parts of the workflow; close supervision is required. Application control and visual QA are major blockers.</x:v>
      </x:c>
      <x:c r="AM153" s="51" t="str">
        <x:v>/Users/jaibhagat/code/prismml/agents-last-exam/tasks/visual_media/chroma_key_from_reference/task_card.json</x:v>
      </x:c>
    </x:row>
    <x:row r="154">
      <x:c r="A154" s="40" t="n">
        <x:f>COUNTIF($AH$5:$AH$157,"&gt;"&amp;AH154)+COUNTIF($AH$5:AH154,AH154)</x:f>
        <x:v>151</x:v>
      </x:c>
      <x:c r="B154" s="51" t="str">
        <x:v>visual_media/butterfly_flap_animation</x:v>
      </x:c>
      <x:c r="C154" s="51" t="str">
        <x:v>butterfly_flap_animation</x:v>
      </x:c>
      <x:c r="D154" s="51" t="str">
        <x:v>visual_media</x:v>
      </x:c>
      <x:c r="E154" s="51" t="str">
        <x:v>3D, Animation &amp; Interactive Media</x:v>
      </x:c>
      <x:c r="F154" s="51" t="str">
        <x:v>GUI and specialist application workflow</x:v>
      </x:c>
      <x:c r="G154" s="51" t="str">
        <x:v>Designer, animator, or media specialist</x:v>
      </x:c>
      <x:c r="H154" s="51" t="str">
        <x:v>Professional and related</x:v>
      </x:c>
      <x:c r="I154" s="52" t="n">
        <x:v>1</x:v>
      </x:c>
      <x:c r="J154" s="51" t="str">
        <x:v>GUI-created professional artifact</x:v>
      </x:c>
      <x:c r="K154" s="43" t="n">
        <x:v>40</x:v>
      </x:c>
      <x:c r="L154" s="43" t="n">
        <x:v>72</x:v>
      </x:c>
      <x:c r="M154" s="43" t="n">
        <x:v>130</x:v>
      </x:c>
      <x:c r="N154" s="43" t="n">
        <x:v>8</x:v>
      </x:c>
      <x:c r="O154" s="44" t="n">
        <x:f>INDEX('Assumptions'!$B$24:$B$29,MATCH(H154,'Assumptions'!$A$24:$A$29,0))*I154</x:f>
        <x:v>72.99</x:v>
      </x:c>
      <x:c r="P154" s="41" t="str">
        <x:v>Low</x:v>
      </x:c>
      <x:c r="Q154" s="45" t="n">
        <x:f>INDEX('Assumptions'!$B$18:$B$21,MATCH(P154,'Assumptions'!$A$18:$A$21,0))</x:f>
        <x:v>1</x:v>
      </x:c>
      <x:c r="R154" s="46" t="n">
        <x:v>0.1</x:v>
      </x:c>
      <x:c r="S154" s="47" t="n">
        <x:f>L154*R154</x:f>
        <x:v>7.2</x:v>
      </x:c>
      <x:c r="T154" s="48" t="n">
        <x:v>50</x:v>
      </x:c>
      <x:c r="U154" s="41" t="n">
        <x:v>2</x:v>
      </x:c>
      <x:c r="V154" s="41" t="n">
        <x:v>10</x:v>
      </x:c>
      <x:c r="W154" s="49" t="n">
        <x:f>V154/100*'Assumptions'!$B$9</x:f>
        <x:v>0.034999999999999996</x:v>
      </x:c>
      <x:c r="X154" s="49" t="n">
        <x:f>MIN('Assumptions'!$B$11,V154/100*'Assumptions'!$B$10)</x:f>
        <x:v>0.07800000000000001</x:v>
      </x:c>
      <x:c r="Y154" s="41" t="n">
        <x:v>52</x:v>
      </x:c>
      <x:c r="Z154" s="41" t="n">
        <x:v>28</x:v>
      </x:c>
      <x:c r="AA154" s="50" t="n">
        <x:f>K154*O154*Q154</x:f>
        <x:v>2919.6</x:v>
      </x:c>
      <x:c r="AB154" s="50" t="n">
        <x:f>L154*O154*Q154</x:f>
        <x:v>5255.28</x:v>
      </x:c>
      <x:c r="AC154" s="50" t="n">
        <x:f>M154*O154*Q154</x:f>
        <x:v>9488.699999999999</x:v>
      </x:c>
      <x:c r="AD154" s="50" t="n">
        <x:f>AB154*N154</x:f>
        <x:v>42042.24</x:v>
      </x:c>
      <x:c r="AE154" s="50" t="n">
        <x:f>MAX(0,N154*(AB154*W154-S154*O154-T154))</x:f>
        <x:v>0</x:v>
      </x:c>
      <x:c r="AF154" s="50" t="n">
        <x:f>MAX(0,N154*(AB154*X154-S154*O154-T154))</x:f>
        <x:v>0</x:v>
      </x:c>
      <x:c r="AG154" s="47" t="n">
        <x:f>(RANK.EQ(AD154,$AD$5:$AD$157,1)-1)/(COUNT($AD$5:$AD$157)-1)*100</x:f>
        <x:v>5.921052631578947</x:v>
      </x:c>
      <x:c r="AH154" s="47" t="n">
        <x:f>MAX(0,MIN(100,AG154*'Assumptions'!$B$5+V154*'Assumptions'!$B$6+Y154*'Assumptions'!$B$7+Z154*'Assumptions'!$B$8-(Q154-1)*'Assumptions'!$B$12))</x:f>
        <x:v>23.080263157894738</x:v>
      </x:c>
      <x:c r="AI154" s="51" t="str">
        <x:v>Low</x:v>
      </x:c>
      <x:c r="AJ154" s="51" t="str">
        <x:v>Professional desktop applications remain difficult for agents because state, files, and visual QA must stay synchronized.</x:v>
      </x:c>
      <x:c r="AK154" s="53" t="str">
        <x:f>IF(AND(AH154&gt;=75,V154&gt;=65,Z154&gt;=60),"Build now",IF(AND(AH154&gt;=60,V154&gt;=50),"Validate next",IF(AH154&gt;=50,"Partner or monitor","Deprioritize")))</x:f>
        <x:v>Deprioritize</x:v>
      </x:c>
      <x:c r="AL154" s="51" t="str">
        <x:v>Useful copilot for parts of the workflow; close supervision is required. Application control and visual QA are major blockers.</x:v>
      </x:c>
      <x:c r="AM154" s="51" t="str">
        <x:v>/Users/jaibhagat/code/prismml/agents-last-exam/tasks/visual_media/butterfly_flap_animation/task_card.json</x:v>
      </x:c>
    </x:row>
    <x:row r="155">
      <x:c r="A155" s="40" t="n">
        <x:f>COUNTIF($AH$5:$AH$157,"&gt;"&amp;AH155)+COUNTIF($AH$5:AH155,AH155)</x:f>
        <x:v>147</x:v>
      </x:c>
      <x:c r="B155" s="51" t="str">
        <x:v>business_finance/equity_research_summary</x:v>
      </x:c>
      <x:c r="C155" s="51" t="str">
        <x:v>Equity Research Summary</x:v>
      </x:c>
      <x:c r="D155" s="51" t="str">
        <x:v>business_finance</x:v>
      </x:c>
      <x:c r="E155" s="51" t="str">
        <x:v>Enterprise Analytics &amp; Planning</x:v>
      </x:c>
      <x:c r="F155" s="51" t="str">
        <x:v>GUI and specialist application workflow</x:v>
      </x:c>
      <x:c r="G155" s="51" t="str">
        <x:v>Compliance, tax, or financial reporting specialist</x:v>
      </x:c>
      <x:c r="H155" s="51" t="str">
        <x:v>Management, business, and financial</x:v>
      </x:c>
      <x:c r="I155" s="52" t="n">
        <x:v>1.15</x:v>
      </x:c>
      <x:c r="J155" s="51" t="str">
        <x:v>Report or analytical workbook</x:v>
      </x:c>
      <x:c r="K155" s="43" t="n">
        <x:v>30</x:v>
      </x:c>
      <x:c r="L155" s="43" t="n">
        <x:v>54</x:v>
      </x:c>
      <x:c r="M155" s="43" t="n">
        <x:v>97</x:v>
      </x:c>
      <x:c r="N155" s="43" t="n">
        <x:v>8</x:v>
      </x:c>
      <x:c r="O155" s="44" t="n">
        <x:f>INDEX('Assumptions'!$B$24:$B$29,MATCH(H155,'Assumptions'!$A$24:$A$29,0))*I155</x:f>
        <x:v>100.84349999999999</x:v>
      </x:c>
      <x:c r="P155" s="41" t="str">
        <x:v>Medium</x:v>
      </x:c>
      <x:c r="Q155" s="45" t="n">
        <x:f>INDEX('Assumptions'!$B$18:$B$21,MATCH(P155,'Assumptions'!$A$18:$A$21,0))</x:f>
        <x:v>1.25</x:v>
      </x:c>
      <x:c r="R155" s="46" t="n">
        <x:v>0.18</x:v>
      </x:c>
      <x:c r="S155" s="47" t="n">
        <x:f>L155*R155</x:f>
        <x:v>9.719999999999999</x:v>
      </x:c>
      <x:c r="T155" s="48" t="n">
        <x:v>50</x:v>
      </x:c>
      <x:c r="U155" s="41" t="n">
        <x:v>2</x:v>
      </x:c>
      <x:c r="V155" s="41" t="n">
        <x:v>10</x:v>
      </x:c>
      <x:c r="W155" s="49" t="n">
        <x:f>V155/100*'Assumptions'!$B$9</x:f>
        <x:v>0.034999999999999996</x:v>
      </x:c>
      <x:c r="X155" s="49" t="n">
        <x:f>MIN('Assumptions'!$B$11,V155/100*'Assumptions'!$B$10)</x:f>
        <x:v>0.07800000000000001</x:v>
      </x:c>
      <x:c r="Y155" s="41" t="n">
        <x:v>44</x:v>
      </x:c>
      <x:c r="Z155" s="41" t="n">
        <x:v>33</x:v>
      </x:c>
      <x:c r="AA155" s="50" t="n">
        <x:f>K155*O155*Q155</x:f>
        <x:v>3781.63125</x:v>
      </x:c>
      <x:c r="AB155" s="50" t="n">
        <x:f>L155*O155*Q155</x:f>
        <x:v>6806.93625</x:v>
      </x:c>
      <x:c r="AC155" s="50" t="n">
        <x:f>M155*O155*Q155</x:f>
        <x:v>12227.274374999999</x:v>
      </x:c>
      <x:c r="AD155" s="50" t="n">
        <x:f>AB155*N155</x:f>
        <x:v>54455.49</x:v>
      </x:c>
      <x:c r="AE155" s="50" t="n">
        <x:f>MAX(0,N155*(AB155*W155-S155*O155-T155))</x:f>
        <x:v>0</x:v>
      </x:c>
      <x:c r="AF155" s="50" t="n">
        <x:f>MAX(0,N155*(AB155*X155-S155*O155-T155))</x:f>
        <x:v>0</x:v>
      </x:c>
      <x:c r="AG155" s="47" t="n">
        <x:f>(RANK.EQ(AD155,$AD$5:$AD$157,1)-1)/(COUNT($AD$5:$AD$157)-1)*100</x:f>
        <x:v>19.736842105263158</x:v>
      </x:c>
      <x:c r="AH155" s="47" t="n">
        <x:f>MAX(0,MIN(100,AG155*'Assumptions'!$B$5+V155*'Assumptions'!$B$6+Y155*'Assumptions'!$B$7+Z155*'Assumptions'!$B$8-(Q155-1)*'Assumptions'!$B$12))</x:f>
        <x:v>23.53421052631579</x:v>
      </x:c>
      <x:c r="AI155" s="51" t="str">
        <x:v>Low</x:v>
      </x:c>
      <x:c r="AJ155" s="51" t="str">
        <x:v>Professional desktop applications remain difficult for agents because state, files, and visual QA must stay synchronized.</x:v>
      </x:c>
      <x:c r="AK155" s="53" t="str">
        <x:f>IF(AND(AH155&gt;=75,V155&gt;=65,Z155&gt;=60),"Build now",IF(AND(AH155&gt;=60,V155&gt;=50),"Validate next",IF(AH155&gt;=50,"Partner or monitor","Deprioritize")))</x:f>
        <x:v>Deprioritize</x:v>
      </x:c>
      <x:c r="AL155" s="51" t="str">
        <x:v>Useful copilot for parts of the workflow; close supervision is required. Application control and visual QA are major blockers.</x:v>
      </x:c>
      <x:c r="AM155" s="51" t="str">
        <x:v>/Users/jaibhagat/code/prismml/agents-last-exam/tasks/business_finance/equity_research_summary/task_card.json</x:v>
      </x:c>
    </x:row>
    <x:row r="156">
      <x:c r="A156" s="40" t="n">
        <x:f>COUNTIF($AH$5:$AH$157,"&gt;"&amp;AH156)+COUNTIF($AH$5:AH156,AH156)</x:f>
        <x:v>152</x:v>
      </x:c>
      <x:c r="B156" s="51" t="str">
        <x:v>visual_media/atlas_outpost_graybox_navigation</x:v>
      </x:c>
      <x:c r="C156" s="51" t="str">
        <x:v>Atlas Outpost Graybox Navigation</x:v>
      </x:c>
      <x:c r="D156" s="51" t="str">
        <x:v>visual_media</x:v>
      </x:c>
      <x:c r="E156" s="51" t="str">
        <x:v>3D, Animation &amp; Interactive Media</x:v>
      </x:c>
      <x:c r="F156" s="51" t="str">
        <x:v>GUI and specialist application workflow</x:v>
      </x:c>
      <x:c r="G156" s="51" t="str">
        <x:v>Designer, animator, or media specialist</x:v>
      </x:c>
      <x:c r="H156" s="51" t="str">
        <x:v>Professional and related</x:v>
      </x:c>
      <x:c r="I156" s="52" t="n">
        <x:v>1</x:v>
      </x:c>
      <x:c r="J156" s="51" t="str">
        <x:v>GUI-created professional artifact</x:v>
      </x:c>
      <x:c r="K156" s="43" t="n">
        <x:v>40</x:v>
      </x:c>
      <x:c r="L156" s="43" t="n">
        <x:v>72</x:v>
      </x:c>
      <x:c r="M156" s="43" t="n">
        <x:v>130</x:v>
      </x:c>
      <x:c r="N156" s="43" t="n">
        <x:v>8</x:v>
      </x:c>
      <x:c r="O156" s="44" t="n">
        <x:f>INDEX('Assumptions'!$B$24:$B$29,MATCH(H156,'Assumptions'!$A$24:$A$29,0))*I156</x:f>
        <x:v>72.99</x:v>
      </x:c>
      <x:c r="P156" s="41" t="str">
        <x:v>Low</x:v>
      </x:c>
      <x:c r="Q156" s="45" t="n">
        <x:f>INDEX('Assumptions'!$B$18:$B$21,MATCH(P156,'Assumptions'!$A$18:$A$21,0))</x:f>
        <x:v>1</x:v>
      </x:c>
      <x:c r="R156" s="46" t="n">
        <x:v>0.1</x:v>
      </x:c>
      <x:c r="S156" s="47" t="n">
        <x:f>L156*R156</x:f>
        <x:v>7.2</x:v>
      </x:c>
      <x:c r="T156" s="48" t="n">
        <x:v>50</x:v>
      </x:c>
      <x:c r="U156" s="41" t="n">
        <x:v>2</x:v>
      </x:c>
      <x:c r="V156" s="41" t="n">
        <x:v>10</x:v>
      </x:c>
      <x:c r="W156" s="49" t="n">
        <x:f>V156/100*'Assumptions'!$B$9</x:f>
        <x:v>0.034999999999999996</x:v>
      </x:c>
      <x:c r="X156" s="49" t="n">
        <x:f>MIN('Assumptions'!$B$11,V156/100*'Assumptions'!$B$10)</x:f>
        <x:v>0.07800000000000001</x:v>
      </x:c>
      <x:c r="Y156" s="41" t="n">
        <x:v>52</x:v>
      </x:c>
      <x:c r="Z156" s="41" t="n">
        <x:v>28</x:v>
      </x:c>
      <x:c r="AA156" s="50" t="n">
        <x:f>K156*O156*Q156</x:f>
        <x:v>2919.6</x:v>
      </x:c>
      <x:c r="AB156" s="50" t="n">
        <x:f>L156*O156*Q156</x:f>
        <x:v>5255.28</x:v>
      </x:c>
      <x:c r="AC156" s="50" t="n">
        <x:f>M156*O156*Q156</x:f>
        <x:v>9488.699999999999</x:v>
      </x:c>
      <x:c r="AD156" s="50" t="n">
        <x:f>AB156*N156</x:f>
        <x:v>42042.24</x:v>
      </x:c>
      <x:c r="AE156" s="50" t="n">
        <x:f>MAX(0,N156*(AB156*W156-S156*O156-T156))</x:f>
        <x:v>0</x:v>
      </x:c>
      <x:c r="AF156" s="50" t="n">
        <x:f>MAX(0,N156*(AB156*X156-S156*O156-T156))</x:f>
        <x:v>0</x:v>
      </x:c>
      <x:c r="AG156" s="47" t="n">
        <x:f>(RANK.EQ(AD156,$AD$5:$AD$157,1)-1)/(COUNT($AD$5:$AD$157)-1)*100</x:f>
        <x:v>5.921052631578947</x:v>
      </x:c>
      <x:c r="AH156" s="47" t="n">
        <x:f>MAX(0,MIN(100,AG156*'Assumptions'!$B$5+V156*'Assumptions'!$B$6+Y156*'Assumptions'!$B$7+Z156*'Assumptions'!$B$8-(Q156-1)*'Assumptions'!$B$12))</x:f>
        <x:v>23.080263157894738</x:v>
      </x:c>
      <x:c r="AI156" s="51" t="str">
        <x:v>Low</x:v>
      </x:c>
      <x:c r="AJ156" s="51" t="str">
        <x:v>Professional desktop applications remain difficult for agents because state, files, and visual QA must stay synchronized.</x:v>
      </x:c>
      <x:c r="AK156" s="53" t="str">
        <x:f>IF(AND(AH156&gt;=75,V156&gt;=65,Z156&gt;=60),"Build now",IF(AND(AH156&gt;=60,V156&gt;=50),"Validate next",IF(AH156&gt;=50,"Partner or monitor","Deprioritize")))</x:f>
        <x:v>Deprioritize</x:v>
      </x:c>
      <x:c r="AL156" s="51" t="str">
        <x:v>Useful copilot for parts of the workflow; close supervision is required. Application control and visual QA are major blockers.</x:v>
      </x:c>
      <x:c r="AM156" s="51" t="str">
        <x:v>/Users/jaibhagat/code/prismml/agents-last-exam/tasks/visual_media/atlas_outpost_graybox_navigation/task_card.json</x:v>
      </x:c>
    </x:row>
    <x:row r="157">
      <x:c r="A157" s="40" t="n">
        <x:f>COUNTIF($AH$5:$AH$157,"&gt;"&amp;AH157)+COUNTIF($AH$5:AH157,AH157)</x:f>
        <x:v>153</x:v>
      </x:c>
      <x:c r="B157" s="51" t="str">
        <x:v>engineering/kicad_navswitch_library_integration_release_002</x:v>
      </x:c>
      <x:c r="C157" s="51" t="str">
        <x:v>KiCad Navswitch Library Integration</x:v>
      </x:c>
      <x:c r="D157" s="51" t="str">
        <x:v>engineering</x:v>
      </x:c>
      <x:c r="E157" s="51" t="str">
        <x:v>Electronics Engineering</x:v>
      </x:c>
      <x:c r="F157" s="51" t="str">
        <x:v>GUI and specialist application workflow</x:v>
      </x:c>
      <x:c r="G157" s="51" t="str">
        <x:v>Specialist engineer</x:v>
      </x:c>
      <x:c r="H157" s="51" t="str">
        <x:v>Professional and related</x:v>
      </x:c>
      <x:c r="I157" s="52" t="n">
        <x:v>1.2</x:v>
      </x:c>
      <x:c r="J157" s="51" t="str">
        <x:v>Report or analytical workbook</x:v>
      </x:c>
      <x:c r="K157" s="43" t="n">
        <x:v>40</x:v>
      </x:c>
      <x:c r="L157" s="43" t="n">
        <x:v>72</x:v>
      </x:c>
      <x:c r="M157" s="43" t="n">
        <x:v>130</x:v>
      </x:c>
      <x:c r="N157" s="43" t="n">
        <x:v>8</x:v>
      </x:c>
      <x:c r="O157" s="44" t="n">
        <x:f>INDEX('Assumptions'!$B$24:$B$29,MATCH(H157,'Assumptions'!$A$24:$A$29,0))*I157</x:f>
        <x:v>87.588</x:v>
      </x:c>
      <x:c r="P157" s="41" t="str">
        <x:v>Critical</x:v>
      </x:c>
      <x:c r="Q157" s="45" t="n">
        <x:f>INDEX('Assumptions'!$B$18:$B$21,MATCH(P157,'Assumptions'!$A$18:$A$21,0))</x:f>
        <x:v>2.2</x:v>
      </x:c>
      <x:c r="R157" s="46" t="n">
        <x:v>0.4</x:v>
      </x:c>
      <x:c r="S157" s="47" t="n">
        <x:f>L157*R157</x:f>
        <x:v>28.8</x:v>
      </x:c>
      <x:c r="T157" s="48" t="n">
        <x:v>50</x:v>
      </x:c>
      <x:c r="U157" s="41" t="n">
        <x:v>1</x:v>
      </x:c>
      <x:c r="V157" s="41" t="n">
        <x:v>5</x:v>
      </x:c>
      <x:c r="W157" s="49" t="n">
        <x:f>V157/100*'Assumptions'!$B$9</x:f>
        <x:v>0.017499999999999998</x:v>
      </x:c>
      <x:c r="X157" s="49" t="n">
        <x:f>MIN('Assumptions'!$B$11,V157/100*'Assumptions'!$B$10)</x:f>
        <x:v>0.03900000000000001</x:v>
      </x:c>
      <x:c r="Y157" s="41" t="n">
        <x:v>44</x:v>
      </x:c>
      <x:c r="Z157" s="41" t="n">
        <x:v>10</x:v>
      </x:c>
      <x:c r="AA157" s="50" t="n">
        <x:f>K157*O157*Q157</x:f>
        <x:v>7707.744</x:v>
      </x:c>
      <x:c r="AB157" s="50" t="n">
        <x:f>L157*O157*Q157</x:f>
        <x:v>13873.939199999999</x:v>
      </x:c>
      <x:c r="AC157" s="50" t="n">
        <x:f>M157*O157*Q157</x:f>
        <x:v>25050.167999999998</x:v>
      </x:c>
      <x:c r="AD157" s="50" t="n">
        <x:f>AB157*N157</x:f>
        <x:v>110991.51359999999</x:v>
      </x:c>
      <x:c r="AE157" s="50" t="n">
        <x:f>MAX(0,N157*(AB157*W157-S157*O157-T157))</x:f>
        <x:v>0</x:v>
      </x:c>
      <x:c r="AF157" s="50" t="n">
        <x:f>MAX(0,N157*(AB157*X157-S157*O157-T157))</x:f>
        <x:v>0</x:v>
      </x:c>
      <x:c r="AG157" s="47" t="n">
        <x:f>(RANK.EQ(AD157,$AD$5:$AD$157,1)-1)/(COUNT($AD$5:$AD$157)-1)*100</x:f>
        <x:v>69.73684210526315</x:v>
      </x:c>
      <x:c r="AH157" s="47" t="n">
        <x:f>MAX(0,MIN(100,AG157*'Assumptions'!$B$5+V157*'Assumptions'!$B$6+Y157*'Assumptions'!$B$7+Z157*'Assumptions'!$B$8-(Q157-1)*'Assumptions'!$B$12))</x:f>
        <x:v>22.334210526315786</x:v>
      </x:c>
      <x:c r="AI157" s="51" t="str">
        <x:v>Low</x:v>
      </x:c>
      <x:c r="AJ157" s="51" t="str">
        <x:v>Professional desktop applications remain difficult for agents because state, files, and visual QA must stay synchronized.</x:v>
      </x:c>
      <x:c r="AK157" s="53" t="str">
        <x:f>IF(AND(AH157&gt;=75,V157&gt;=65,Z157&gt;=60),"Build now",IF(AND(AH157&gt;=60,V157&gt;=50),"Validate next",IF(AH157&gt;=50,"Partner or monitor","Deprioritize")))</x:f>
        <x:v>Deprioritize</x:v>
      </x:c>
      <x:c r="AL157" s="51" t="str">
        <x:v>Research demonstration; substantial manual execution remains. Accountable professional signoff remains necessary. Application control and visual QA are major blockers.</x:v>
      </x:c>
      <x:c r="AM157" s="51" t="str">
        <x:v>/Users/jaibhagat/code/prismml/agents-last-exam/tasks/engineering/kicad_navswitch_library_integration_release_002/task_card.json</x:v>
      </x:c>
    </x:row>
  </x:sheetData>
  <x:mergeCells>
    <x:mergeCell ref="A1:AM1"/>
    <x:mergeCell ref="A2:AM3"/>
  </x:mergeCells>
  <x:conditionalFormatting sqref="AH5:AH15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5:V157">
    <x:cfRule type="dataBar" priority="2">
      <x:dataBar>
        <x:cfvo type="min"/>
        <x:cfvo type="max"/>
        <x:color rgb="FF2D6CDF"/>
      </x:dataBar>
      <x:extLst>
        <x:ext xmlns:x14="http://schemas.microsoft.com/office/spreadsheetml/2009/9/main" uri="{B025F937-C7B1-47D3-B67F-A62EFF666E3E}">
          <x14:id>{F860E0ED-8F21-B579-6980-AF226E9E481C}</x14:id>
        </x:ext>
      </x:extLst>
    </x:cfRule>
  </x:conditionalFormatting>
  <x:conditionalFormatting sqref="Y5:Y157">
    <x:cfRule type="colorScale" priority="3">
      <x:colorScale>
        <x:cfvo type="min"/>
        <x:cfvo type="percentile" val="50"/>
        <x:cfvo type="max"/>
        <x:color rgb="FFFDE2E2"/>
        <x:color rgb="FFFFF0CC"/>
        <x:color rgb="FFDFF3E4"/>
      </x:colorScale>
    </x:cfRule>
  </x:conditionalFormatting>
  <x:conditionalFormatting sqref="P5:P157">
    <x:cfRule type="containsText" dxfId="0" priority="4" operator="containsText" text="Critical"/>
    <x:cfRule type="containsText" dxfId="1" priority="5" operator="containsText" text="High"/>
  </x:conditionalFormatting>
  <x:conditionalFormatting sqref="AK5:AK157">
    <x:cfRule type="containsText" dxfId="2" priority="6" operator="containsText" text="Build now"/>
    <x:cfRule type="containsText" dxfId="3" priority="7" operator="containsText" text="Validate next"/>
  </x:conditionalFormatting>
  <x:pageMargins left="0.7" right="0.7" top="0.75" bottom="0.75" header="0.3" footer="0.3"/>
  <x:tableParts count="1">
    <x:tablePart xmlns:r="http://schemas.openxmlformats.org/officeDocument/2006/relationships" r:id="R41b6cff2ab2042b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860E0ED-8F21-B579-6980-AF226E9E481C}">
            <x14:dataBar gradient="1">
              <x14:cfvo type="min"/>
              <x14:cfvo type="max"/>
              <x14:fillColor rgb="FF2D6CDF"/>
            </x14:dataBar>
          </x14:cfRule>
          <xm:sqref>V5:V157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34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58" hidden="0" customWidth="1"/>
  </x:cols>
  <x:sheetData>
    <x:row r="1" ht="32" customHeight="1">
      <x:c r="A1" s="3" t="str">
        <x:v>Opportunity shortlist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7" t="str">
        <x:v>The top 30 tasks by opportunity score, with formulas linked to the full matrix. Use these rows for customer discovery and focused Bonsai evaluations.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24" t="str">
        <x:v>Rank</x:v>
      </x:c>
      <x:c r="B4" s="24" t="str">
        <x:v>Task ID</x:v>
      </x:c>
      <x:c r="C4" s="24" t="str">
        <x:v>Title</x:v>
      </x:c>
      <x:c r="D4" s="24" t="str">
        <x:v>Domain</x:v>
      </x:c>
      <x:c r="E4" s="24" t="str">
        <x:v>Opportunity</x:v>
      </x:c>
      <x:c r="F4" s="24" t="str">
        <x:v>Bonsai fit</x:v>
      </x:c>
      <x:c r="G4" s="24" t="str">
        <x:v>Target net annual value</x:v>
      </x:c>
      <x:c r="H4" s="24" t="str">
        <x:v>Risk</x:v>
      </x:c>
      <x:c r="I4" s="24" t="str">
        <x:v>Recommended move</x:v>
      </x:c>
      <x:c r="J4" s="24" t="str">
        <x:v>Gap hypothesis</x:v>
      </x:c>
    </x:row>
    <x:row r="5">
      <x:c r="A5" t="n">
        <x:v>1</x:v>
      </x:c>
      <x:c r="B5" s="21" t="str">
        <x:f>INDEX('Task Matrix'!$B$5:$B$157,MATCH(A5,'Task Matrix'!$A$5:$A$157,0))</x:f>
        <x:v>legal/legal_dr_fees_01</x:v>
      </x:c>
      <x:c r="C5" s="21" t="str">
        <x:f>INDEX('Task Matrix'!$C$5:$C$157,MATCH(A5,'Task Matrix'!$A$5:$A$157,0))</x:f>
        <x:v>BAC Arbitration Fee Calculation</x:v>
      </x:c>
      <x:c r="D5" s="21" t="str">
        <x:f>INDEX('Task Matrix'!$D$5:$D$157,MATCH(A5,'Task Matrix'!$A$5:$A$157,0))</x:f>
        <x:v>legal</x:v>
      </x:c>
      <x:c r="E5" s="68" t="n">
        <x:f>INDEX('Task Matrix'!$AH$5:$AH$157,MATCH(A5,'Task Matrix'!$A$5:$A$157,0))</x:f>
        <x:v>82.2092105263158</x:v>
      </x:c>
      <x:c r="F5" s="68" t="n">
        <x:f>INDEX('Task Matrix'!$V$5:$V$157,MATCH(A5,'Task Matrix'!$A$5:$A$157,0))</x:f>
        <x:v>92</x:v>
      </x:c>
      <x:c r="G5" s="69" t="n">
        <x:f>INDEX('Task Matrix'!$AF$5:$AF$157,MATCH(A5,'Task Matrix'!$A$5:$A$157,0))</x:f>
        <x:v>82776.11470335998</x:v>
      </x:c>
      <x:c r="H5" s="21" t="str">
        <x:f>INDEX('Task Matrix'!$P$5:$P$157,MATCH(A5,'Task Matrix'!$A$5:$A$157,0))</x:f>
        <x:v>High</x:v>
      </x:c>
      <x:c r="I5" s="21" t="str">
        <x:f>INDEX('Task Matrix'!$AK$5:$AK$157,MATCH(A5,'Task Matrix'!$A$5:$A$157,0))</x:f>
        <x:v>Build now</x:v>
      </x:c>
      <x:c r="J5" s="21" t="str">
        <x:f>INDEX('Task Matrix'!$AJ$5:$AJ$157,MATCH(A5,'Task Matrix'!$A$5:$A$157,0))</x:f>
        <x:v>Private, multilingual document work with structured evidence and audit trails is underserved.</x:v>
      </x:c>
    </x:row>
    <x:row r="6">
      <x:c r="A6" t="n">
        <x:v>2</x:v>
      </x:c>
      <x:c r="B6" s="21" t="str">
        <x:f>INDEX('Task Matrix'!$B$5:$B$157,MATCH(A6,'Task Matrix'!$A$5:$A$157,0))</x:f>
        <x:v>health_medicine/healthcare_bias_audit_27a_public_replication_v1</x:v>
      </x:c>
      <x:c r="C6" s="21" t="str">
        <x:f>INDEX('Task Matrix'!$C$5:$C$157,MATCH(A6,'Task Matrix'!$A$5:$A$157,0))</x:f>
        <x:v>Public Synthetic Healthcare Bias Audit Replication</x:v>
      </x:c>
      <x:c r="D6" s="21" t="str">
        <x:f>INDEX('Task Matrix'!$D$5:$D$157,MATCH(A6,'Task Matrix'!$A$5:$A$157,0))</x:f>
        <x:v>health_medicine</x:v>
      </x:c>
      <x:c r="E6" s="68" t="n">
        <x:f>INDEX('Task Matrix'!$AH$5:$AH$157,MATCH(A6,'Task Matrix'!$A$5:$A$157,0))</x:f>
        <x:v>80.91973684210525</x:v>
      </x:c>
      <x:c r="F6" s="68" t="n">
        <x:f>INDEX('Task Matrix'!$V$5:$V$157,MATCH(A6,'Task Matrix'!$A$5:$A$157,0))</x:f>
        <x:v>82</x:v>
      </x:c>
      <x:c r="G6" s="69" t="n">
        <x:f>INDEX('Task Matrix'!$AF$5:$AF$157,MATCH(A6,'Task Matrix'!$A$5:$A$157,0))</x:f>
        <x:v>168784.48076799995</x:v>
      </x:c>
      <x:c r="H6" s="21" t="str">
        <x:f>INDEX('Task Matrix'!$P$5:$P$157,MATCH(A6,'Task Matrix'!$A$5:$A$157,0))</x:f>
        <x:v>High</x:v>
      </x:c>
      <x:c r="I6" s="21" t="str">
        <x:f>INDEX('Task Matrix'!$AK$5:$AK$157,MATCH(A6,'Task Matrix'!$A$5:$A$157,0))</x:f>
        <x:v>Build now</x:v>
      </x:c>
      <x:c r="J6" s="21" t="str">
        <x:f>INDEX('Task Matrix'!$AJ$5:$AJ$157,MATCH(A6,'Task Matrix'!$A$5:$A$157,0))</x:f>
        <x:v>Domain-specific document work needs reliable citations, schemas, and review routing rather than generic chat.</x:v>
      </x:c>
    </x:row>
    <x:row r="7">
      <x:c r="A7" t="n">
        <x:v>3</x:v>
      </x:c>
      <x:c r="B7" s="21" t="str">
        <x:f>INDEX('Task Matrix'!$B$5:$B$157,MATCH(A7,'Task Matrix'!$A$5:$A$157,0))</x:f>
        <x:v>business_finance/llm_ecosystem_privacy_audit_realdata_1</x:v>
      </x:c>
      <x:c r="C7" s="21" t="str">
        <x:f>INDEX('Task Matrix'!$C$5:$C$157,MATCH(A7,'Task Matrix'!$A$5:$A$157,0))</x:f>
        <x:v>GPT Actions Privacy &amp; Policy Audit</x:v>
      </x:c>
      <x:c r="D7" s="21" t="str">
        <x:f>INDEX('Task Matrix'!$D$5:$D$157,MATCH(A7,'Task Matrix'!$A$5:$A$157,0))</x:f>
        <x:v>business_finance</x:v>
      </x:c>
      <x:c r="E7" s="68" t="n">
        <x:f>INDEX('Task Matrix'!$AH$5:$AH$157,MATCH(A7,'Task Matrix'!$A$5:$A$157,0))</x:f>
        <x:v>79.52631578947368</x:v>
      </x:c>
      <x:c r="F7" s="68" t="n">
        <x:f>INDEX('Task Matrix'!$V$5:$V$157,MATCH(A7,'Task Matrix'!$A$5:$A$157,0))</x:f>
        <x:v>66</x:v>
      </x:c>
      <x:c r="G7" s="69" t="n">
        <x:f>INDEX('Task Matrix'!$AF$5:$AF$157,MATCH(A7,'Task Matrix'!$A$5:$A$157,0))</x:f>
        <x:v>93461.9245</x:v>
      </x:c>
      <x:c r="H7" s="21" t="str">
        <x:f>INDEX('Task Matrix'!$P$5:$P$157,MATCH(A7,'Task Matrix'!$A$5:$A$157,0))</x:f>
        <x:v>Medium</x:v>
      </x:c>
      <x:c r="I7" s="21" t="str">
        <x:f>INDEX('Task Matrix'!$AK$5:$AK$157,MATCH(A7,'Task Matrix'!$A$5:$A$157,0))</x:f>
        <x:v>Build now</x:v>
      </x:c>
      <x:c r="J7" s="21" t="str">
        <x:f>INDEX('Task Matrix'!$AJ$5:$AJ$157,MATCH(A7,'Task Matrix'!$A$5:$A$157,0))</x:f>
        <x:v>Domain-specific document work needs reliable citations, schemas, and review routing rather than generic chat.</x:v>
      </x:c>
    </x:row>
    <x:row r="8">
      <x:c r="A8" t="n">
        <x:v>4</x:v>
      </x:c>
      <x:c r="B8" s="21" t="str">
        <x:f>INDEX('Task Matrix'!$B$5:$B$157,MATCH(A8,'Task Matrix'!$A$5:$A$157,0))</x:f>
        <x:v>physical_sciences/qm9_mmff94_forcefield_survey_1</x:v>
      </x:c>
      <x:c r="C8" s="21" t="str">
        <x:f>INDEX('Task Matrix'!$C$5:$C$157,MATCH(A8,'Task Matrix'!$A$5:$A$157,0))</x:f>
        <x:v>QM9 MMFF94 Force-Field Failure Survey</x:v>
      </x:c>
      <x:c r="D8" s="21" t="str">
        <x:f>INDEX('Task Matrix'!$D$5:$D$157,MATCH(A8,'Task Matrix'!$A$5:$A$157,0))</x:f>
        <x:v>physical_sciences</x:v>
      </x:c>
      <x:c r="E8" s="68" t="n">
        <x:f>INDEX('Task Matrix'!$AH$5:$AH$157,MATCH(A8,'Task Matrix'!$A$5:$A$157,0))</x:f>
        <x:v>78.53684210526316</x:v>
      </x:c>
      <x:c r="F8" s="68" t="n">
        <x:f>INDEX('Task Matrix'!$V$5:$V$157,MATCH(A8,'Task Matrix'!$A$5:$A$157,0))</x:f>
        <x:v>82</x:v>
      </x:c>
      <x:c r="G8" s="69" t="n">
        <x:f>INDEX('Task Matrix'!$AF$5:$AF$157,MATCH(A8,'Task Matrix'!$A$5:$A$157,0))</x:f>
        <x:v>70278.99579999999</x:v>
      </x:c>
      <x:c r="H8" s="21" t="str">
        <x:f>INDEX('Task Matrix'!$P$5:$P$157,MATCH(A8,'Task Matrix'!$A$5:$A$157,0))</x:f>
        <x:v>Medium</x:v>
      </x:c>
      <x:c r="I8" s="21" t="str">
        <x:f>INDEX('Task Matrix'!$AK$5:$AK$157,MATCH(A8,'Task Matrix'!$A$5:$A$157,0))</x:f>
        <x:v>Build now</x:v>
      </x:c>
      <x:c r="J8" s="21" t="str">
        <x:f>INDEX('Task Matrix'!$AJ$5:$AJ$157,MATCH(A8,'Task Matrix'!$A$5:$A$157,0))</x:f>
        <x:v>Organizations need repeatable extraction and evidence workflows across inconsistent source formats.</x:v>
      </x:c>
    </x:row>
    <x:row r="9">
      <x:c r="A9" t="n">
        <x:v>5</x:v>
      </x:c>
      <x:c r="B9" s="21" t="str">
        <x:f>INDEX('Task Matrix'!$B$5:$B$157,MATCH(A9,'Task Matrix'!$A$5:$A$157,0))</x:f>
        <x:v>transport_safety/fds_single_compartment_detector_reconstruction</x:v>
      </x:c>
      <x:c r="C9" s="21" t="str">
        <x:f>INDEX('Task Matrix'!$C$5:$C$157,MATCH(A9,'Task Matrix'!$A$5:$A$157,0))</x:f>
        <x:v>FDS Single-Compartment Detector Reconstruction</x:v>
      </x:c>
      <x:c r="D9" s="21" t="str">
        <x:f>INDEX('Task Matrix'!$D$5:$D$157,MATCH(A9,'Task Matrix'!$A$5:$A$157,0))</x:f>
        <x:v>transport_safety</x:v>
      </x:c>
      <x:c r="E9" s="68" t="n">
        <x:f>INDEX('Task Matrix'!$AH$5:$AH$157,MATCH(A9,'Task Matrix'!$A$5:$A$157,0))</x:f>
        <x:v>78.26184210526317</x:v>
      </x:c>
      <x:c r="F9" s="68" t="n">
        <x:f>INDEX('Task Matrix'!$V$5:$V$157,MATCH(A9,'Task Matrix'!$A$5:$A$157,0))</x:f>
        <x:v>82</x:v>
      </x:c>
      <x:c r="G9" s="69" t="n">
        <x:f>INDEX('Task Matrix'!$AF$5:$AF$157,MATCH(A9,'Task Matrix'!$A$5:$A$157,0))</x:f>
        <x:v>116546.29172991995</x:v>
      </x:c>
      <x:c r="H9" s="21" t="str">
        <x:f>INDEX('Task Matrix'!$P$5:$P$157,MATCH(A9,'Task Matrix'!$A$5:$A$157,0))</x:f>
        <x:v>High</x:v>
      </x:c>
      <x:c r="I9" s="21" t="str">
        <x:f>INDEX('Task Matrix'!$AK$5:$AK$157,MATCH(A9,'Task Matrix'!$A$5:$A$157,0))</x:f>
        <x:v>Build now</x:v>
      </x:c>
      <x:c r="J9" s="21" t="str">
        <x:f>INDEX('Task Matrix'!$AJ$5:$AJ$157,MATCH(A9,'Task Matrix'!$A$5:$A$157,0))</x:f>
        <x:v>Organizations need repeatable extraction and evidence workflows across inconsistent source formats.</x:v>
      </x:c>
    </x:row>
    <x:row r="10">
      <x:c r="A10" t="n">
        <x:v>6</x:v>
      </x:c>
      <x:c r="B10" s="21" t="str">
        <x:f>INDEX('Task Matrix'!$B$5:$B$157,MATCH(A10,'Task Matrix'!$A$5:$A$157,0))</x:f>
        <x:v>computing_math/k3_abelian_extensions</x:v>
      </x:c>
      <x:c r="C10" s="21" t="str">
        <x:f>INDEX('Task Matrix'!$C$5:$C$157,MATCH(A10,'Task Matrix'!$A$5:$A$157,0))</x:f>
        <x:v>Finite Abelian Extension Classification</x:v>
      </x:c>
      <x:c r="D10" s="21" t="str">
        <x:f>INDEX('Task Matrix'!$D$5:$D$157,MATCH(A10,'Task Matrix'!$A$5:$A$157,0))</x:f>
        <x:v>computing_math</x:v>
      </x:c>
      <x:c r="E10" s="68" t="n">
        <x:f>INDEX('Task Matrix'!$AH$5:$AH$157,MATCH(A10,'Task Matrix'!$A$5:$A$157,0))</x:f>
        <x:v>77.91842105263157</x:v>
      </x:c>
      <x:c r="F10" s="68" t="n">
        <x:f>INDEX('Task Matrix'!$V$5:$V$157,MATCH(A10,'Task Matrix'!$A$5:$A$157,0))</x:f>
        <x:v>82</x:v>
      </x:c>
      <x:c r="G10" s="69" t="n">
        <x:f>INDEX('Task Matrix'!$AF$5:$AF$157,MATCH(A10,'Task Matrix'!$A$5:$A$157,0))</x:f>
        <x:v>56265.9318208</x:v>
      </x:c>
      <x:c r="H10" s="21" t="str">
        <x:f>INDEX('Task Matrix'!$P$5:$P$157,MATCH(A10,'Task Matrix'!$A$5:$A$157,0))</x:f>
        <x:v>Low</x:v>
      </x:c>
      <x:c r="I10" s="21" t="str">
        <x:f>INDEX('Task Matrix'!$AK$5:$AK$157,MATCH(A10,'Task Matrix'!$A$5:$A$157,0))</x:f>
        <x:v>Build now</x:v>
      </x:c>
      <x:c r="J10" s="21" t="str">
        <x:f>INDEX('Task Matrix'!$AJ$5:$AJ$157,MATCH(A10,'Task Matrix'!$A$5:$A$157,0))</x:f>
        <x:v>Organizations need repeatable extraction and evidence workflows across inconsistent source formats.</x:v>
      </x:c>
    </x:row>
    <x:row r="11">
      <x:c r="A11" t="n">
        <x:v>7</x:v>
      </x:c>
      <x:c r="B11" s="21" t="str">
        <x:f>INDEX('Task Matrix'!$B$5:$B$157,MATCH(A11,'Task Matrix'!$A$5:$A$157,0))</x:f>
        <x:v>computing_math/pcap_enterprise_triage_01</x:v>
      </x:c>
      <x:c r="C11" s="21" t="str">
        <x:f>INDEX('Task Matrix'!$C$5:$C$157,MATCH(A11,'Task Matrix'!$A$5:$A$157,0))</x:f>
        <x:v>Enterprise PCAP Triage In Wireshark</x:v>
      </x:c>
      <x:c r="D11" s="21" t="str">
        <x:f>INDEX('Task Matrix'!$D$5:$D$157,MATCH(A11,'Task Matrix'!$A$5:$A$157,0))</x:f>
        <x:v>computing_math</x:v>
      </x:c>
      <x:c r="E11" s="68" t="n">
        <x:f>INDEX('Task Matrix'!$AH$5:$AH$157,MATCH(A11,'Task Matrix'!$A$5:$A$157,0))</x:f>
        <x:v>76.45263157894736</x:v>
      </x:c>
      <x:c r="F11" s="68" t="n">
        <x:f>INDEX('Task Matrix'!$V$5:$V$157,MATCH(A11,'Task Matrix'!$A$5:$A$157,0))</x:f>
        <x:v>82</x:v>
      </x:c>
      <x:c r="G11" s="69" t="n">
        <x:f>INDEX('Task Matrix'!$AF$5:$AF$157,MATCH(A11,'Task Matrix'!$A$5:$A$157,0))</x:f>
        <x:v>77610.86115328</x:v>
      </x:c>
      <x:c r="H11" s="21" t="str">
        <x:f>INDEX('Task Matrix'!$P$5:$P$157,MATCH(A11,'Task Matrix'!$A$5:$A$157,0))</x:f>
        <x:v>High</x:v>
      </x:c>
      <x:c r="I11" s="21" t="str">
        <x:f>INDEX('Task Matrix'!$AK$5:$AK$157,MATCH(A11,'Task Matrix'!$A$5:$A$157,0))</x:f>
        <x:v>Build now</x:v>
      </x:c>
      <x:c r="J11" s="21" t="str">
        <x:f>INDEX('Task Matrix'!$AJ$5:$AJ$157,MATCH(A11,'Task Matrix'!$A$5:$A$157,0))</x:f>
        <x:v>Organizations need repeatable extraction and evidence workflows across inconsistent source formats.</x:v>
      </x:c>
    </x:row>
    <x:row r="12">
      <x:c r="A12" t="n">
        <x:v>8</x:v>
      </x:c>
      <x:c r="B12" s="21" t="str">
        <x:f>INDEX('Task Matrix'!$B$5:$B$157,MATCH(A12,'Task Matrix'!$A$5:$A$157,0))</x:f>
        <x:v>life_sciences/amber_three_stage_mmgbsa_workflow_instance_1</x:v>
      </x:c>
      <x:c r="C12" s="21" t="str">
        <x:f>INDEX('Task Matrix'!$C$5:$C$157,MATCH(A12,'Task Matrix'!$A$5:$A$157,0))</x:f>
        <x:v>Amber Three-Stage MMGBSA Workflow Authoring</x:v>
      </x:c>
      <x:c r="D12" s="21" t="str">
        <x:f>INDEX('Task Matrix'!$D$5:$D$157,MATCH(A12,'Task Matrix'!$A$5:$A$157,0))</x:f>
        <x:v>life_sciences</x:v>
      </x:c>
      <x:c r="E12" s="68" t="n">
        <x:f>INDEX('Task Matrix'!$AH$5:$AH$157,MATCH(A12,'Task Matrix'!$A$5:$A$157,0))</x:f>
        <x:v>76.36842105263158</x:v>
      </x:c>
      <x:c r="F12" s="68" t="n">
        <x:f>INDEX('Task Matrix'!$V$5:$V$157,MATCH(A12,'Task Matrix'!$A$5:$A$157,0))</x:f>
        <x:v>72</x:v>
      </x:c>
      <x:c r="G12" s="69" t="n">
        <x:f>INDEX('Task Matrix'!$AF$5:$AF$157,MATCH(A12,'Task Matrix'!$A$5:$A$157,0))</x:f>
        <x:v>88895.8252</x:v>
      </x:c>
      <x:c r="H12" s="21" t="str">
        <x:f>INDEX('Task Matrix'!$P$5:$P$157,MATCH(A12,'Task Matrix'!$A$5:$A$157,0))</x:f>
        <x:v>Medium</x:v>
      </x:c>
      <x:c r="I12" s="21" t="str">
        <x:f>INDEX('Task Matrix'!$AK$5:$AK$157,MATCH(A12,'Task Matrix'!$A$5:$A$157,0))</x:f>
        <x:v>Build now</x:v>
      </x:c>
      <x:c r="J12" s="21" t="str">
        <x:f>INDEX('Task Matrix'!$AJ$5:$AJ$157,MATCH(A12,'Task Matrix'!$A$5:$A$157,0))</x:f>
        <x:v>Organizations need repeatable extraction and evidence workflows across inconsistent source formats.</x:v>
      </x:c>
    </x:row>
    <x:row r="13">
      <x:c r="A13" t="n">
        <x:v>9</x:v>
      </x:c>
      <x:c r="B13" s="21" t="str">
        <x:f>INDEX('Task Matrix'!$B$5:$B$157,MATCH(A13,'Task Matrix'!$A$5:$A$157,0))</x:f>
        <x:v>life_sciences/rgi_mcr1_colistin_v2</x:v>
      </x:c>
      <x:c r="C13" s="21" t="str">
        <x:f>INDEX('Task Matrix'!$C$5:$C$157,MATCH(A13,'Task Matrix'!$A$5:$A$157,0))</x:f>
        <x:v>RGI Contig Resistance Annotation</x:v>
      </x:c>
      <x:c r="D13" s="21" t="str">
        <x:f>INDEX('Task Matrix'!$D$5:$D$157,MATCH(A13,'Task Matrix'!$A$5:$A$157,0))</x:f>
        <x:v>life_sciences</x:v>
      </x:c>
      <x:c r="E13" s="68" t="n">
        <x:f>INDEX('Task Matrix'!$AH$5:$AH$157,MATCH(A13,'Task Matrix'!$A$5:$A$157,0))</x:f>
        <x:v>76.24736842105263</x:v>
      </x:c>
      <x:c r="F13" s="68" t="n">
        <x:f>INDEX('Task Matrix'!$V$5:$V$157,MATCH(A13,'Task Matrix'!$A$5:$A$157,0))</x:f>
        <x:v>82</x:v>
      </x:c>
      <x:c r="G13" s="69" t="n">
        <x:f>INDEX('Task Matrix'!$AF$5:$AF$157,MATCH(A13,'Task Matrix'!$A$5:$A$157,0))</x:f>
        <x:v>52644.24684999999</x:v>
      </x:c>
      <x:c r="H13" s="21" t="str">
        <x:f>INDEX('Task Matrix'!$P$5:$P$157,MATCH(A13,'Task Matrix'!$A$5:$A$157,0))</x:f>
        <x:v>Medium</x:v>
      </x:c>
      <x:c r="I13" s="21" t="str">
        <x:f>INDEX('Task Matrix'!$AK$5:$AK$157,MATCH(A13,'Task Matrix'!$A$5:$A$157,0))</x:f>
        <x:v>Build now</x:v>
      </x:c>
      <x:c r="J13" s="21" t="str">
        <x:f>INDEX('Task Matrix'!$AJ$5:$AJ$157,MATCH(A13,'Task Matrix'!$A$5:$A$157,0))</x:f>
        <x:v>Organizations need repeatable extraction and evidence workflows across inconsistent source formats.</x:v>
      </x:c>
    </x:row>
    <x:row r="14">
      <x:c r="A14" t="n">
        <x:v>10</x:v>
      </x:c>
      <x:c r="B14" s="21" t="str">
        <x:f>INDEX('Task Matrix'!$B$5:$B$157,MATCH(A14,'Task Matrix'!$A$5:$A$157,0))</x:f>
        <x:v>legal/agora_governance_classify_instance_1</x:v>
      </x:c>
      <x:c r="C14" s="21" t="str">
        <x:f>INDEX('Task Matrix'!$C$5:$C$157,MATCH(A14,'Task Matrix'!$A$5:$A$157,0))</x:f>
        <x:v>AGORA AI Governance Document Classification</x:v>
      </x:c>
      <x:c r="D14" s="21" t="str">
        <x:f>INDEX('Task Matrix'!$D$5:$D$157,MATCH(A14,'Task Matrix'!$A$5:$A$157,0))</x:f>
        <x:v>legal</x:v>
      </x:c>
      <x:c r="E14" s="68" t="n">
        <x:f>INDEX('Task Matrix'!$AH$5:$AH$157,MATCH(A14,'Task Matrix'!$A$5:$A$157,0))</x:f>
        <x:v>76.2092105263158</x:v>
      </x:c>
      <x:c r="F14" s="68" t="n">
        <x:f>INDEX('Task Matrix'!$V$5:$V$157,MATCH(A14,'Task Matrix'!$A$5:$A$157,0))</x:f>
        <x:v>82</x:v>
      </x:c>
      <x:c r="G14" s="69" t="n">
        <x:f>INDEX('Task Matrix'!$AF$5:$AF$157,MATCH(A14,'Task Matrix'!$A$5:$A$157,0))</x:f>
        <x:v>70839.48192255998</x:v>
      </x:c>
      <x:c r="H14" s="21" t="str">
        <x:f>INDEX('Task Matrix'!$P$5:$P$157,MATCH(A14,'Task Matrix'!$A$5:$A$157,0))</x:f>
        <x:v>High</x:v>
      </x:c>
      <x:c r="I14" s="21" t="str">
        <x:f>INDEX('Task Matrix'!$AK$5:$AK$157,MATCH(A14,'Task Matrix'!$A$5:$A$157,0))</x:f>
        <x:v>Build now</x:v>
      </x:c>
      <x:c r="J14" s="21" t="str">
        <x:f>INDEX('Task Matrix'!$AJ$5:$AJ$157,MATCH(A14,'Task Matrix'!$A$5:$A$157,0))</x:f>
        <x:v>Domain-specific document work needs reliable citations, schemas, and review routing rather than generic chat.</x:v>
      </x:c>
    </x:row>
    <x:row r="15">
      <x:c r="A15" t="n">
        <x:v>11</x:v>
      </x:c>
      <x:c r="B15" s="21" t="str">
        <x:f>INDEX('Task Matrix'!$B$5:$B$157,MATCH(A15,'Task Matrix'!$A$5:$A$157,0))</x:f>
        <x:v>business_finance/taxform_4_1</x:v>
      </x:c>
      <x:c r="C15" s="21" t="str">
        <x:f>INDEX('Task Matrix'!$C$5:$C$157,MATCH(A15,'Task Matrix'!$A$5:$A$157,0))</x:f>
        <x:v>Taxform 4 1</x:v>
      </x:c>
      <x:c r="D15" s="21" t="str">
        <x:f>INDEX('Task Matrix'!$D$5:$D$157,MATCH(A15,'Task Matrix'!$A$5:$A$157,0))</x:f>
        <x:v>business_finance</x:v>
      </x:c>
      <x:c r="E15" s="68" t="n">
        <x:f>INDEX('Task Matrix'!$AH$5:$AH$157,MATCH(A15,'Task Matrix'!$A$5:$A$157,0))</x:f>
        <x:v>75.79473684210525</x:v>
      </x:c>
      <x:c r="F15" s="68" t="n">
        <x:f>INDEX('Task Matrix'!$V$5:$V$157,MATCH(A15,'Task Matrix'!$A$5:$A$157,0))</x:f>
        <x:v>82</x:v>
      </x:c>
      <x:c r="G15" s="69" t="n">
        <x:f>INDEX('Task Matrix'!$AF$5:$AF$157,MATCH(A15,'Task Matrix'!$A$5:$A$157,0))</x:f>
        <x:v>69905.39061375998</x:v>
      </x:c>
      <x:c r="H15" s="21" t="str">
        <x:f>INDEX('Task Matrix'!$P$5:$P$157,MATCH(A15,'Task Matrix'!$A$5:$A$157,0))</x:f>
        <x:v>High</x:v>
      </x:c>
      <x:c r="I15" s="21" t="str">
        <x:f>INDEX('Task Matrix'!$AK$5:$AK$157,MATCH(A15,'Task Matrix'!$A$5:$A$157,0))</x:f>
        <x:v>Build now</x:v>
      </x:c>
      <x:c r="J15" s="21" t="str">
        <x:f>INDEX('Task Matrix'!$AJ$5:$AJ$157,MATCH(A15,'Task Matrix'!$A$5:$A$157,0))</x:f>
        <x:v>Domain-specific document work needs reliable citations, schemas, and review routing rather than generic chat.</x:v>
      </x:c>
    </x:row>
    <x:row r="16">
      <x:c r="A16" t="n">
        <x:v>12</x:v>
      </x:c>
      <x:c r="B16" s="21" t="str">
        <x:f>INDEX('Task Matrix'!$B$5:$B$157,MATCH(A16,'Task Matrix'!$A$5:$A$157,0))</x:f>
        <x:v>business_finance/sse_northbound_programmatic_trading_01</x:v>
      </x:c>
      <x:c r="C16" s="21" t="str">
        <x:f>INDEX('Task Matrix'!$C$5:$C$157,MATCH(A16,'Task Matrix'!$A$5:$A$157,0))</x:f>
        <x:v>SSE Northbound Programmatic Trading Research</x:v>
      </x:c>
      <x:c r="D16" s="21" t="str">
        <x:f>INDEX('Task Matrix'!$D$5:$D$157,MATCH(A16,'Task Matrix'!$A$5:$A$157,0))</x:f>
        <x:v>business_finance</x:v>
      </x:c>
      <x:c r="E16" s="68" t="n">
        <x:f>INDEX('Task Matrix'!$AH$5:$AH$157,MATCH(A16,'Task Matrix'!$A$5:$A$157,0))</x:f>
        <x:v>75.53157894736843</x:v>
      </x:c>
      <x:c r="F16" s="68" t="n">
        <x:f>INDEX('Task Matrix'!$V$5:$V$157,MATCH(A16,'Task Matrix'!$A$5:$A$157,0))</x:f>
        <x:v>92</x:v>
      </x:c>
      <x:c r="G16" s="69" t="n">
        <x:f>INDEX('Task Matrix'!$AF$5:$AF$157,MATCH(A16,'Task Matrix'!$A$5:$A$157,0))</x:f>
        <x:v>50307.81674495999</x:v>
      </x:c>
      <x:c r="H16" s="21" t="str">
        <x:f>INDEX('Task Matrix'!$P$5:$P$157,MATCH(A16,'Task Matrix'!$A$5:$A$157,0))</x:f>
        <x:v>High</x:v>
      </x:c>
      <x:c r="I16" s="21" t="str">
        <x:f>INDEX('Task Matrix'!$AK$5:$AK$157,MATCH(A16,'Task Matrix'!$A$5:$A$157,0))</x:f>
        <x:v>Build now</x:v>
      </x:c>
      <x:c r="J16" s="21" t="str">
        <x:f>INDEX('Task Matrix'!$AJ$5:$AJ$157,MATCH(A16,'Task Matrix'!$A$5:$A$157,0))</x:f>
        <x:v>Private, multilingual document work with structured evidence and audit trails is underserved.</x:v>
      </x:c>
    </x:row>
    <x:row r="17">
      <x:c r="A17" t="n">
        <x:v>13</x:v>
      </x:c>
      <x:c r="B17" s="21" t="str">
        <x:f>INDEX('Task Matrix'!$B$5:$B$157,MATCH(A17,'Task Matrix'!$A$5:$A$157,0))</x:f>
        <x:v>health_medicine/healthcare_sap_group_sequential_nsclc</x:v>
      </x:c>
      <x:c r="C17" s="21" t="str">
        <x:f>INDEX('Task Matrix'!$C$5:$C$157,MATCH(A17,'Task Matrix'!$A$5:$A$157,0))</x:f>
        <x:v>NSCLC Group-Sequential SAP</x:v>
      </x:c>
      <x:c r="D17" s="21" t="str">
        <x:f>INDEX('Task Matrix'!$D$5:$D$157,MATCH(A17,'Task Matrix'!$A$5:$A$157,0))</x:f>
        <x:v>health_medicine</x:v>
      </x:c>
      <x:c r="E17" s="68" t="n">
        <x:f>INDEX('Task Matrix'!$AH$5:$AH$157,MATCH(A17,'Task Matrix'!$A$5:$A$157,0))</x:f>
        <x:v>75.47894736842106</x:v>
      </x:c>
      <x:c r="F17" s="68" t="n">
        <x:f>INDEX('Task Matrix'!$V$5:$V$157,MATCH(A17,'Task Matrix'!$A$5:$A$157,0))</x:f>
        <x:v>82</x:v>
      </x:c>
      <x:c r="G17" s="69" t="n">
        <x:f>INDEX('Task Matrix'!$AF$5:$AF$157,MATCH(A17,'Task Matrix'!$A$5:$A$157,0))</x:f>
        <x:v>60822.41307647999</x:v>
      </x:c>
      <x:c r="H17" s="21" t="str">
        <x:f>INDEX('Task Matrix'!$P$5:$P$157,MATCH(A17,'Task Matrix'!$A$5:$A$157,0))</x:f>
        <x:v>High</x:v>
      </x:c>
      <x:c r="I17" s="21" t="str">
        <x:f>INDEX('Task Matrix'!$AK$5:$AK$157,MATCH(A17,'Task Matrix'!$A$5:$A$157,0))</x:f>
        <x:v>Build now</x:v>
      </x:c>
      <x:c r="J17" s="21" t="str">
        <x:f>INDEX('Task Matrix'!$AJ$5:$AJ$157,MATCH(A17,'Task Matrix'!$A$5:$A$157,0))</x:f>
        <x:v>Domain-specific document work needs reliable citations, schemas, and review routing rather than generic chat.</x:v>
      </x:c>
    </x:row>
    <x:row r="18">
      <x:c r="A18" t="n">
        <x:v>14</x:v>
      </x:c>
      <x:c r="B18" s="21" t="str">
        <x:f>INDEX('Task Matrix'!$B$5:$B$157,MATCH(A18,'Task Matrix'!$A$5:$A$157,0))</x:f>
        <x:v>education_info/homework_grading_numerical_pdes_instance_02</x:v>
      </x:c>
      <x:c r="C18" s="21" t="str">
        <x:f>INDEX('Task Matrix'!$C$5:$C$157,MATCH(A18,'Task Matrix'!$A$5:$A$157,0))</x:f>
        <x:v>Homework Grading Numerical PDEs 02</x:v>
      </x:c>
      <x:c r="D18" s="21" t="str">
        <x:f>INDEX('Task Matrix'!$D$5:$D$157,MATCH(A18,'Task Matrix'!$A$5:$A$157,0))</x:f>
        <x:v>education_info</x:v>
      </x:c>
      <x:c r="E18" s="68" t="n">
        <x:f>INDEX('Task Matrix'!$AH$5:$AH$157,MATCH(A18,'Task Matrix'!$A$5:$A$157,0))</x:f>
        <x:v>75.27368421052631</x:v>
      </x:c>
      <x:c r="F18" s="68" t="n">
        <x:f>INDEX('Task Matrix'!$V$5:$V$157,MATCH(A18,'Task Matrix'!$A$5:$A$157,0))</x:f>
        <x:v>82</x:v>
      </x:c>
      <x:c r="G18" s="69" t="n">
        <x:f>INDEX('Task Matrix'!$AF$5:$AF$157,MATCH(A18,'Task Matrix'!$A$5:$A$157,0))</x:f>
        <x:v>48892.98419199999</x:v>
      </x:c>
      <x:c r="H18" s="21" t="str">
        <x:f>INDEX('Task Matrix'!$P$5:$P$157,MATCH(A18,'Task Matrix'!$A$5:$A$157,0))</x:f>
        <x:v>Low</x:v>
      </x:c>
      <x:c r="I18" s="21" t="str">
        <x:f>INDEX('Task Matrix'!$AK$5:$AK$157,MATCH(A18,'Task Matrix'!$A$5:$A$157,0))</x:f>
        <x:v>Build now</x:v>
      </x:c>
      <x:c r="J18" s="21" t="str">
        <x:f>INDEX('Task Matrix'!$AJ$5:$AJ$157,MATCH(A18,'Task Matrix'!$A$5:$A$157,0))</x:f>
        <x:v>Organizations need repeatable extraction and evidence workflows across inconsistent source formats.</x:v>
      </x:c>
    </x:row>
    <x:row r="19">
      <x:c r="A19" t="n">
        <x:v>15</x:v>
      </x:c>
      <x:c r="B19" s="21" t="str">
        <x:f>INDEX('Task Matrix'!$B$5:$B$157,MATCH(A19,'Task Matrix'!$A$5:$A$157,0))</x:f>
        <x:v>life_sciences/tms_marrow_cell_type_annotation_instance_1</x:v>
      </x:c>
      <x:c r="C19" s="21" t="str">
        <x:f>INDEX('Task Matrix'!$C$5:$C$157,MATCH(A19,'Task Matrix'!$A$5:$A$157,0))</x:f>
        <x:v>Marrow Cell Type Annotation</x:v>
      </x:c>
      <x:c r="D19" s="21" t="str">
        <x:f>INDEX('Task Matrix'!$D$5:$D$157,MATCH(A19,'Task Matrix'!$A$5:$A$157,0))</x:f>
        <x:v>life_sciences</x:v>
      </x:c>
      <x:c r="E19" s="68" t="n">
        <x:f>INDEX('Task Matrix'!$AH$5:$AH$157,MATCH(A19,'Task Matrix'!$A$5:$A$157,0))</x:f>
        <x:v>74.21052631578948</x:v>
      </x:c>
      <x:c r="F19" s="68" t="n">
        <x:f>INDEX('Task Matrix'!$V$5:$V$157,MATCH(A19,'Task Matrix'!$A$5:$A$157,0))</x:f>
        <x:v>74</x:v>
      </x:c>
      <x:c r="G19" s="69" t="n">
        <x:f>INDEX('Task Matrix'!$AF$5:$AF$157,MATCH(A19,'Task Matrix'!$A$5:$A$157,0))</x:f>
        <x:v>81430.09680000001</x:v>
      </x:c>
      <x:c r="H19" s="21" t="str">
        <x:f>INDEX('Task Matrix'!$P$5:$P$157,MATCH(A19,'Task Matrix'!$A$5:$A$157,0))</x:f>
        <x:v>Medium</x:v>
      </x:c>
      <x:c r="I19" s="21" t="str">
        <x:f>INDEX('Task Matrix'!$AK$5:$AK$157,MATCH(A19,'Task Matrix'!$A$5:$A$157,0))</x:f>
        <x:v>Validate next</x:v>
      </x:c>
      <x:c r="J19" s="21" t="str">
        <x:f>INDEX('Task Matrix'!$AJ$5:$AJ$157,MATCH(A19,'Task Matrix'!$A$5:$A$157,0))</x:f>
        <x:v>Standard analyses are partly automated, but reliable evidence, exception handling, and deliverable compliance remain gaps.</x:v>
      </x:c>
    </x:row>
    <x:row r="20">
      <x:c r="A20" t="n">
        <x:v>16</x:v>
      </x:c>
      <x:c r="B20" s="21" t="str">
        <x:f>INDEX('Task Matrix'!$B$5:$B$157,MATCH(A20,'Task Matrix'!$A$5:$A$157,0))</x:f>
        <x:v>life_sciences/hg002_chr22_germline_variant_pipeline</x:v>
      </x:c>
      <x:c r="C20" s="21" t="str">
        <x:f>INDEX('Task Matrix'!$C$5:$C$157,MATCH(A20,'Task Matrix'!$A$5:$A$157,0))</x:f>
        <x:v>HG002 Chr22 Germline Variant Pipeline</x:v>
      </x:c>
      <x:c r="D20" s="21" t="str">
        <x:f>INDEX('Task Matrix'!$D$5:$D$157,MATCH(A20,'Task Matrix'!$A$5:$A$157,0))</x:f>
        <x:v>life_sciences</x:v>
      </x:c>
      <x:c r="E20" s="68" t="n">
        <x:f>INDEX('Task Matrix'!$AH$5:$AH$157,MATCH(A20,'Task Matrix'!$A$5:$A$157,0))</x:f>
        <x:v>74.21052631578948</x:v>
      </x:c>
      <x:c r="F20" s="68" t="n">
        <x:f>INDEX('Task Matrix'!$V$5:$V$157,MATCH(A20,'Task Matrix'!$A$5:$A$157,0))</x:f>
        <x:v>74</x:v>
      </x:c>
      <x:c r="G20" s="69" t="n">
        <x:f>INDEX('Task Matrix'!$AF$5:$AF$157,MATCH(A20,'Task Matrix'!$A$5:$A$157,0))</x:f>
        <x:v>81430.09680000001</x:v>
      </x:c>
      <x:c r="H20" s="21" t="str">
        <x:f>INDEX('Task Matrix'!$P$5:$P$157,MATCH(A20,'Task Matrix'!$A$5:$A$157,0))</x:f>
        <x:v>Medium</x:v>
      </x:c>
      <x:c r="I20" s="21" t="str">
        <x:f>INDEX('Task Matrix'!$AK$5:$AK$157,MATCH(A20,'Task Matrix'!$A$5:$A$157,0))</x:f>
        <x:v>Validate next</x:v>
      </x:c>
      <x:c r="J20" s="21" t="str">
        <x:f>INDEX('Task Matrix'!$AJ$5:$AJ$157,MATCH(A20,'Task Matrix'!$A$5:$A$157,0))</x:f>
        <x:v>Standard analyses are partly automated, but reliable evidence, exception handling, and deliverable compliance remain gaps.</x:v>
      </x:c>
    </x:row>
    <x:row r="21">
      <x:c r="A21" t="n">
        <x:v>17</x:v>
      </x:c>
      <x:c r="B21" s="21" t="str">
        <x:f>INDEX('Task Matrix'!$B$5:$B$157,MATCH(A21,'Task Matrix'!$A$5:$A$157,0))</x:f>
        <x:v>computing_math/k8s_migration_1</x:v>
      </x:c>
      <x:c r="C21" s="21" t="str">
        <x:f>INDEX('Task Matrix'!$C$5:$C$157,MATCH(A21,'Task Matrix'!$A$5:$A$157,0))</x:f>
        <x:v>Docker Compose To Kubernetes Migration</x:v>
      </x:c>
      <x:c r="D21" s="21" t="str">
        <x:f>INDEX('Task Matrix'!$D$5:$D$157,MATCH(A21,'Task Matrix'!$A$5:$A$157,0))</x:f>
        <x:v>computing_math</x:v>
      </x:c>
      <x:c r="E21" s="68" t="n">
        <x:f>INDEX('Task Matrix'!$AH$5:$AH$157,MATCH(A21,'Task Matrix'!$A$5:$A$157,0))</x:f>
        <x:v>73.88815789473685</x:v>
      </x:c>
      <x:c r="F21" s="68" t="n">
        <x:f>INDEX('Task Matrix'!$V$5:$V$157,MATCH(A21,'Task Matrix'!$A$5:$A$157,0))</x:f>
        <x:v>72</x:v>
      </x:c>
      <x:c r="G21" s="69" t="n">
        <x:f>INDEX('Task Matrix'!$AF$5:$AF$157,MATCH(A21,'Task Matrix'!$A$5:$A$157,0))</x:f>
        <x:v>72272.53371519998</x:v>
      </x:c>
      <x:c r="H21" s="21" t="str">
        <x:f>INDEX('Task Matrix'!$P$5:$P$157,MATCH(A21,'Task Matrix'!$A$5:$A$157,0))</x:f>
        <x:v>Low</x:v>
      </x:c>
      <x:c r="I21" s="21" t="str">
        <x:f>INDEX('Task Matrix'!$AK$5:$AK$157,MATCH(A21,'Task Matrix'!$A$5:$A$157,0))</x:f>
        <x:v>Validate next</x:v>
      </x:c>
      <x:c r="J21" s="21" t="str">
        <x:f>INDEX('Task Matrix'!$AJ$5:$AJ$157,MATCH(A21,'Task Matrix'!$A$5:$A$157,0))</x:f>
        <x:v>Organizations need repeatable extraction and evidence workflows across inconsistent source formats.</x:v>
      </x:c>
    </x:row>
    <x:row r="22">
      <x:c r="A22" t="n">
        <x:v>18</x:v>
      </x:c>
      <x:c r="B22" s="21" t="str">
        <x:f>INDEX('Task Matrix'!$B$5:$B$157,MATCH(A22,'Task Matrix'!$A$5:$A$157,0))</x:f>
        <x:v>computing_math/k8s_payment_api_root_cause_analysis</x:v>
      </x:c>
      <x:c r="C22" s="21" t="str">
        <x:f>INDEX('Task Matrix'!$C$5:$C$157,MATCH(A22,'Task Matrix'!$A$5:$A$157,0))</x:f>
        <x:v>Kubernetes Payment API Root Cause Analysis</x:v>
      </x:c>
      <x:c r="D22" s="21" t="str">
        <x:f>INDEX('Task Matrix'!$D$5:$D$157,MATCH(A22,'Task Matrix'!$A$5:$A$157,0))</x:f>
        <x:v>computing_math</x:v>
      </x:c>
      <x:c r="E22" s="68" t="n">
        <x:f>INDEX('Task Matrix'!$AH$5:$AH$157,MATCH(A22,'Task Matrix'!$A$5:$A$157,0))</x:f>
        <x:v>73.45263157894736</x:v>
      </x:c>
      <x:c r="F22" s="68" t="n">
        <x:f>INDEX('Task Matrix'!$V$5:$V$157,MATCH(A22,'Task Matrix'!$A$5:$A$157,0))</x:f>
        <x:v>82</x:v>
      </x:c>
      <x:c r="G22" s="69" t="n">
        <x:f>INDEX('Task Matrix'!$AF$5:$AF$157,MATCH(A22,'Task Matrix'!$A$5:$A$157,0))</x:f>
        <x:v>77610.86115328</x:v>
      </x:c>
      <x:c r="H22" s="21" t="str">
        <x:f>INDEX('Task Matrix'!$P$5:$P$157,MATCH(A22,'Task Matrix'!$A$5:$A$157,0))</x:f>
        <x:v>High</x:v>
      </x:c>
      <x:c r="I22" s="21" t="str">
        <x:f>INDEX('Task Matrix'!$AK$5:$AK$157,MATCH(A22,'Task Matrix'!$A$5:$A$157,0))</x:f>
        <x:v>Validate next</x:v>
      </x:c>
      <x:c r="J22" s="21" t="str">
        <x:f>INDEX('Task Matrix'!$AJ$5:$AJ$157,MATCH(A22,'Task Matrix'!$A$5:$A$157,0))</x:f>
        <x:v>Organizations need repeatable extraction and evidence workflows across inconsistent source formats.</x:v>
      </x:c>
    </x:row>
    <x:row r="23">
      <x:c r="A23" t="n">
        <x:v>19</x:v>
      </x:c>
      <x:c r="B23" s="21" t="str">
        <x:f>INDEX('Task Matrix'!$B$5:$B$157,MATCH(A23,'Task Matrix'!$A$5:$A$157,0))</x:f>
        <x:v>health_medicine/healthcare_variant_annotation_pipeline</x:v>
      </x:c>
      <x:c r="C23" s="21" t="str">
        <x:f>INDEX('Task Matrix'!$C$5:$C$157,MATCH(A23,'Task Matrix'!$A$5:$A$157,0))</x:f>
        <x:v>Build A Pinned Clinical Variant Annotation Table</x:v>
      </x:c>
      <x:c r="D23" s="21" t="str">
        <x:f>INDEX('Task Matrix'!$D$5:$D$157,MATCH(A23,'Task Matrix'!$A$5:$A$157,0))</x:f>
        <x:v>health_medicine</x:v>
      </x:c>
      <x:c r="E23" s="68" t="n">
        <x:f>INDEX('Task Matrix'!$AH$5:$AH$157,MATCH(A23,'Task Matrix'!$A$5:$A$157,0))</x:f>
        <x:v>71.87105263157895</x:v>
      </x:c>
      <x:c r="F23" s="68" t="n">
        <x:f>INDEX('Task Matrix'!$V$5:$V$157,MATCH(A23,'Task Matrix'!$A$5:$A$157,0))</x:f>
        <x:v>72</x:v>
      </x:c>
      <x:c r="G23" s="69" t="n">
        <x:f>INDEX('Task Matrix'!$AF$5:$AF$157,MATCH(A23,'Task Matrix'!$A$5:$A$157,0))</x:f>
        <x:v>380043.933952</x:v>
      </x:c>
      <x:c r="H23" s="21" t="str">
        <x:f>INDEX('Task Matrix'!$P$5:$P$157,MATCH(A23,'Task Matrix'!$A$5:$A$157,0))</x:f>
        <x:v>Critical</x:v>
      </x:c>
      <x:c r="I23" s="21" t="str">
        <x:f>INDEX('Task Matrix'!$AK$5:$AK$157,MATCH(A23,'Task Matrix'!$A$5:$A$157,0))</x:f>
        <x:v>Validate next</x:v>
      </x:c>
      <x:c r="J23" s="21" t="str">
        <x:f>INDEX('Task Matrix'!$AJ$5:$AJ$157,MATCH(A23,'Task Matrix'!$A$5:$A$157,0))</x:f>
        <x:v>Domain-specific document work needs reliable citations, schemas, and review routing rather than generic chat.</x:v>
      </x:c>
    </x:row>
    <x:row r="24">
      <x:c r="A24" t="n">
        <x:v>20</x:v>
      </x:c>
      <x:c r="B24" s="21" t="str">
        <x:f>INDEX('Task Matrix'!$B$5:$B$157,MATCH(A24,'Task Matrix'!$A$5:$A$157,0))</x:f>
        <x:v>business_finance/ar_full_1500</x:v>
      </x:c>
      <x:c r="C24" s="21" t="str">
        <x:f>INDEX('Task Matrix'!$C$5:$C$157,MATCH(A24,'Task Matrix'!$A$5:$A$157,0))</x:f>
        <x:v>Annual Report Full Extraction (1500 files)</x:v>
      </x:c>
      <x:c r="D24" s="21" t="str">
        <x:f>INDEX('Task Matrix'!$D$5:$D$157,MATCH(A24,'Task Matrix'!$A$5:$A$157,0))</x:f>
        <x:v>business_finance</x:v>
      </x:c>
      <x:c r="E24" s="68" t="n">
        <x:f>INDEX('Task Matrix'!$AH$5:$AH$157,MATCH(A24,'Task Matrix'!$A$5:$A$157,0))</x:f>
        <x:v>71.54868421052632</x:v>
      </x:c>
      <x:c r="F24" s="68" t="n">
        <x:f>INDEX('Task Matrix'!$V$5:$V$157,MATCH(A24,'Task Matrix'!$A$5:$A$157,0))</x:f>
        <x:v>56</x:v>
      </x:c>
      <x:c r="G24" s="69" t="n">
        <x:f>INDEX('Task Matrix'!$AF$5:$AF$157,MATCH(A24,'Task Matrix'!$A$5:$A$157,0))</x:f>
        <x:v>110706.16300000003</x:v>
      </x:c>
      <x:c r="H24" s="21" t="str">
        <x:f>INDEX('Task Matrix'!$P$5:$P$157,MATCH(A24,'Task Matrix'!$A$5:$A$157,0))</x:f>
        <x:v>Medium</x:v>
      </x:c>
      <x:c r="I24" s="21" t="str">
        <x:f>INDEX('Task Matrix'!$AK$5:$AK$157,MATCH(A24,'Task Matrix'!$A$5:$A$157,0))</x:f>
        <x:v>Validate next</x:v>
      </x:c>
      <x:c r="J24" s="21" t="str">
        <x:f>INDEX('Task Matrix'!$AJ$5:$AJ$157,MATCH(A24,'Task Matrix'!$A$5:$A$157,0))</x:f>
        <x:v>Domain-specific document work needs reliable citations, schemas, and review routing rather than generic chat.</x:v>
      </x:c>
    </x:row>
    <x:row r="25">
      <x:c r="A25" t="n">
        <x:v>21</x:v>
      </x:c>
      <x:c r="B25" s="21" t="str">
        <x:f>INDEX('Task Matrix'!$B$5:$B$157,MATCH(A25,'Task Matrix'!$A$5:$A$157,0))</x:f>
        <x:v>health_medicine/Clinical_Variant_Annotation</x:v>
      </x:c>
      <x:c r="C25" s="21" t="str">
        <x:f>INDEX('Task Matrix'!$C$5:$C$157,MATCH(A25,'Task Matrix'!$A$5:$A$157,0))</x:f>
        <x:v>Clinical Variant Annotation</x:v>
      </x:c>
      <x:c r="D25" s="21" t="str">
        <x:f>INDEX('Task Matrix'!$D$5:$D$157,MATCH(A25,'Task Matrix'!$A$5:$A$157,0))</x:f>
        <x:v>health_medicine</x:v>
      </x:c>
      <x:c r="E25" s="68" t="n">
        <x:f>INDEX('Task Matrix'!$AH$5:$AH$157,MATCH(A25,'Task Matrix'!$A$5:$A$157,0))</x:f>
        <x:v>70.8842105263158</x:v>
      </x:c>
      <x:c r="F25" s="68" t="n">
        <x:f>INDEX('Task Matrix'!$V$5:$V$157,MATCH(A25,'Task Matrix'!$A$5:$A$157,0))</x:f>
        <x:v>72</x:v>
      </x:c>
      <x:c r="G25" s="69" t="n">
        <x:f>INDEX('Task Matrix'!$AF$5:$AF$157,MATCH(A25,'Task Matrix'!$A$5:$A$157,0))</x:f>
        <x:v>142203.975232</x:v>
      </x:c>
      <x:c r="H25" s="21" t="str">
        <x:f>INDEX('Task Matrix'!$P$5:$P$157,MATCH(A25,'Task Matrix'!$A$5:$A$157,0))</x:f>
        <x:v>Critical</x:v>
      </x:c>
      <x:c r="I25" s="21" t="str">
        <x:f>INDEX('Task Matrix'!$AK$5:$AK$157,MATCH(A25,'Task Matrix'!$A$5:$A$157,0))</x:f>
        <x:v>Validate next</x:v>
      </x:c>
      <x:c r="J25" s="21" t="str">
        <x:f>INDEX('Task Matrix'!$AJ$5:$AJ$157,MATCH(A25,'Task Matrix'!$A$5:$A$157,0))</x:f>
        <x:v>Domain-specific document work needs reliable citations, schemas, and review routing rather than generic chat.</x:v>
      </x:c>
    </x:row>
    <x:row r="26">
      <x:c r="A26" t="n">
        <x:v>22</x:v>
      </x:c>
      <x:c r="B26" s="21" t="str">
        <x:f>INDEX('Task Matrix'!$B$5:$B$157,MATCH(A26,'Task Matrix'!$A$5:$A$157,0))</x:f>
        <x:v>computing_math/ranking_node_feature_parity_recovery_instance_1</x:v>
      </x:c>
      <x:c r="C26" s="21" t="str">
        <x:f>INDEX('Task Matrix'!$C$5:$C$157,MATCH(A26,'Task Matrix'!$A$5:$A$157,0))</x:f>
        <x:v>Ranking Node Feature Parity Recovery</x:v>
      </x:c>
      <x:c r="D26" s="21" t="str">
        <x:f>INDEX('Task Matrix'!$D$5:$D$157,MATCH(A26,'Task Matrix'!$A$5:$A$157,0))</x:f>
        <x:v>computing_math</x:v>
      </x:c>
      <x:c r="E26" s="68" t="n">
        <x:f>INDEX('Task Matrix'!$AH$5:$AH$157,MATCH(A26,'Task Matrix'!$A$5:$A$157,0))</x:f>
        <x:v>70.60394736842106</x:v>
      </x:c>
      <x:c r="F26" s="68" t="n">
        <x:f>INDEX('Task Matrix'!$V$5:$V$157,MATCH(A26,'Task Matrix'!$A$5:$A$157,0))</x:f>
        <x:v>64</x:v>
      </x:c>
      <x:c r="G26" s="69" t="n">
        <x:f>INDEX('Task Matrix'!$AF$5:$AF$157,MATCH(A26,'Task Matrix'!$A$5:$A$157,0))</x:f>
        <x:v>82596.59000319999</x:v>
      </x:c>
      <x:c r="H26" s="21" t="str">
        <x:f>INDEX('Task Matrix'!$P$5:$P$157,MATCH(A26,'Task Matrix'!$A$5:$A$157,0))</x:f>
        <x:v>Low</x:v>
      </x:c>
      <x:c r="I26" s="21" t="str">
        <x:f>INDEX('Task Matrix'!$AK$5:$AK$157,MATCH(A26,'Task Matrix'!$A$5:$A$157,0))</x:f>
        <x:v>Validate next</x:v>
      </x:c>
      <x:c r="J26" s="21" t="str">
        <x:f>INDEX('Task Matrix'!$AJ$5:$AJ$157,MATCH(A26,'Task Matrix'!$A$5:$A$157,0))</x:f>
        <x:v>The gap is verified repair and migration inside constrained environments, with evidence that changes work.</x:v>
      </x:c>
    </x:row>
    <x:row r="27">
      <x:c r="A27" t="n">
        <x:v>23</x:v>
      </x:c>
      <x:c r="B27" s="21" t="str">
        <x:f>INDEX('Task Matrix'!$B$5:$B$157,MATCH(A27,'Task Matrix'!$A$5:$A$157,0))</x:f>
        <x:v>health_medicine/crf_sdtm_mapping_4</x:v>
      </x:c>
      <x:c r="C27" s="21" t="str">
        <x:f>INDEX('Task Matrix'!$C$5:$C$157,MATCH(A27,'Task Matrix'!$A$5:$A$157,0))</x:f>
        <x:v>CRF To SDTM Mapping Specification 4</x:v>
      </x:c>
      <x:c r="D27" s="21" t="str">
        <x:f>INDEX('Task Matrix'!$D$5:$D$157,MATCH(A27,'Task Matrix'!$A$5:$A$157,0))</x:f>
        <x:v>health_medicine</x:v>
      </x:c>
      <x:c r="E27" s="68" t="n">
        <x:f>INDEX('Task Matrix'!$AH$5:$AH$157,MATCH(A27,'Task Matrix'!$A$5:$A$157,0))</x:f>
        <x:v>69.88684210526317</x:v>
      </x:c>
      <x:c r="F27" s="68" t="n">
        <x:f>INDEX('Task Matrix'!$V$5:$V$157,MATCH(A27,'Task Matrix'!$A$5:$A$157,0))</x:f>
        <x:v>82</x:v>
      </x:c>
      <x:c r="G27" s="69" t="n">
        <x:f>INDEX('Task Matrix'!$AF$5:$AF$157,MATCH(A27,'Task Matrix'!$A$5:$A$157,0))</x:f>
        <x:v>40508.27538431999</x:v>
      </x:c>
      <x:c r="H27" s="21" t="str">
        <x:f>INDEX('Task Matrix'!$P$5:$P$157,MATCH(A27,'Task Matrix'!$A$5:$A$157,0))</x:f>
        <x:v>High</x:v>
      </x:c>
      <x:c r="I27" s="21" t="str">
        <x:f>INDEX('Task Matrix'!$AK$5:$AK$157,MATCH(A27,'Task Matrix'!$A$5:$A$157,0))</x:f>
        <x:v>Validate next</x:v>
      </x:c>
      <x:c r="J27" s="21" t="str">
        <x:f>INDEX('Task Matrix'!$AJ$5:$AJ$157,MATCH(A27,'Task Matrix'!$A$5:$A$157,0))</x:f>
        <x:v>Domain-specific document work needs reliable citations, schemas, and review routing rather than generic chat.</x:v>
      </x:c>
    </x:row>
    <x:row r="28">
      <x:c r="A28" t="n">
        <x:v>24</x:v>
      </x:c>
      <x:c r="B28" s="21" t="str">
        <x:f>INDEX('Task Matrix'!$B$5:$B$157,MATCH(A28,'Task Matrix'!$A$5:$A$157,0))</x:f>
        <x:v>health_medicine/crf_sdtm_mapping_1</x:v>
      </x:c>
      <x:c r="C28" s="21" t="str">
        <x:f>INDEX('Task Matrix'!$C$5:$C$157,MATCH(A28,'Task Matrix'!$A$5:$A$157,0))</x:f>
        <x:v>CRF To SDTM Mapping Specification</x:v>
      </x:c>
      <x:c r="D28" s="21" t="str">
        <x:f>INDEX('Task Matrix'!$D$5:$D$157,MATCH(A28,'Task Matrix'!$A$5:$A$157,0))</x:f>
        <x:v>health_medicine</x:v>
      </x:c>
      <x:c r="E28" s="68" t="n">
        <x:f>INDEX('Task Matrix'!$AH$5:$AH$157,MATCH(A28,'Task Matrix'!$A$5:$A$157,0))</x:f>
        <x:v>69.88684210526317</x:v>
      </x:c>
      <x:c r="F28" s="68" t="n">
        <x:f>INDEX('Task Matrix'!$V$5:$V$157,MATCH(A28,'Task Matrix'!$A$5:$A$157,0))</x:f>
        <x:v>82</x:v>
      </x:c>
      <x:c r="G28" s="69" t="n">
        <x:f>INDEX('Task Matrix'!$AF$5:$AF$157,MATCH(A28,'Task Matrix'!$A$5:$A$157,0))</x:f>
        <x:v>40508.27538431999</x:v>
      </x:c>
      <x:c r="H28" s="21" t="str">
        <x:f>INDEX('Task Matrix'!$P$5:$P$157,MATCH(A28,'Task Matrix'!$A$5:$A$157,0))</x:f>
        <x:v>High</x:v>
      </x:c>
      <x:c r="I28" s="21" t="str">
        <x:f>INDEX('Task Matrix'!$AK$5:$AK$157,MATCH(A28,'Task Matrix'!$A$5:$A$157,0))</x:f>
        <x:v>Validate next</x:v>
      </x:c>
      <x:c r="J28" s="21" t="str">
        <x:f>INDEX('Task Matrix'!$AJ$5:$AJ$157,MATCH(A28,'Task Matrix'!$A$5:$A$157,0))</x:f>
        <x:v>Domain-specific document work needs reliable citations, schemas, and review routing rather than generic chat.</x:v>
      </x:c>
    </x:row>
    <x:row r="29">
      <x:c r="A29" t="n">
        <x:v>25</x:v>
      </x:c>
      <x:c r="B29" s="21" t="str">
        <x:f>INDEX('Task Matrix'!$B$5:$B$157,MATCH(A29,'Task Matrix'!$A$5:$A$157,0))</x:f>
        <x:v>life_sciences/tcga_brca_deg_analysis</x:v>
      </x:c>
      <x:c r="C29" s="21" t="str">
        <x:f>INDEX('Task Matrix'!$C$5:$C$157,MATCH(A29,'Task Matrix'!$A$5:$A$157,0))</x:f>
        <x:v>TCGA BRCA Differential Expression Analysis</x:v>
      </x:c>
      <x:c r="D29" s="21" t="str">
        <x:f>INDEX('Task Matrix'!$D$5:$D$157,MATCH(A29,'Task Matrix'!$A$5:$A$157,0))</x:f>
        <x:v>life_sciences</x:v>
      </x:c>
      <x:c r="E29" s="68" t="n">
        <x:f>INDEX('Task Matrix'!$AH$5:$AH$157,MATCH(A29,'Task Matrix'!$A$5:$A$157,0))</x:f>
        <x:v>69.77763157894736</x:v>
      </x:c>
      <x:c r="F29" s="68" t="n">
        <x:f>INDEX('Task Matrix'!$V$5:$V$157,MATCH(A29,'Task Matrix'!$A$5:$A$157,0))</x:f>
        <x:v>50</x:v>
      </x:c>
      <x:c r="G29" s="69" t="n">
        <x:f>INDEX('Task Matrix'!$AF$5:$AF$157,MATCH(A29,'Task Matrix'!$A$5:$A$157,0))</x:f>
        <x:v>111511.01000000001</x:v>
      </x:c>
      <x:c r="H29" s="21" t="str">
        <x:f>INDEX('Task Matrix'!$P$5:$P$157,MATCH(A29,'Task Matrix'!$A$5:$A$157,0))</x:f>
        <x:v>Medium</x:v>
      </x:c>
      <x:c r="I29" s="21" t="str">
        <x:f>INDEX('Task Matrix'!$AK$5:$AK$157,MATCH(A29,'Task Matrix'!$A$5:$A$157,0))</x:f>
        <x:v>Validate next</x:v>
      </x:c>
      <x:c r="J29" s="21" t="str">
        <x:f>INDEX('Task Matrix'!$AJ$5:$AJ$157,MATCH(A29,'Task Matrix'!$A$5:$A$157,0))</x:f>
        <x:v>Specialists lack agents that can operate domain tools, preserve provenance, and reproduce results.</x:v>
      </x:c>
    </x:row>
    <x:row r="30">
      <x:c r="A30" t="n">
        <x:v>26</x:v>
      </x:c>
      <x:c r="B30" s="21" t="str">
        <x:f>INDEX('Task Matrix'!$B$5:$B$157,MATCH(A30,'Task Matrix'!$A$5:$A$157,0))</x:f>
        <x:v>business_finance/pe_screening_memo_1</x:v>
      </x:c>
      <x:c r="C30" s="21" t="str">
        <x:f>INDEX('Task Matrix'!$C$5:$C$157,MATCH(A30,'Task Matrix'!$A$5:$A$157,0))</x:f>
        <x:v>PE Screening Memo 1</x:v>
      </x:c>
      <x:c r="D30" s="21" t="str">
        <x:f>INDEX('Task Matrix'!$D$5:$D$157,MATCH(A30,'Task Matrix'!$A$5:$A$157,0))</x:f>
        <x:v>business_finance</x:v>
      </x:c>
      <x:c r="E30" s="68" t="n">
        <x:f>INDEX('Task Matrix'!$AH$5:$AH$157,MATCH(A30,'Task Matrix'!$A$5:$A$157,0))</x:f>
        <x:v>69.33947368421053</x:v>
      </x:c>
      <x:c r="F30" s="68" t="n">
        <x:f>INDEX('Task Matrix'!$V$5:$V$157,MATCH(A30,'Task Matrix'!$A$5:$A$157,0))</x:f>
        <x:v>82</x:v>
      </x:c>
      <x:c r="G30" s="69" t="n">
        <x:f>INDEX('Task Matrix'!$AF$5:$AF$157,MATCH(A30,'Task Matrix'!$A$5:$A$157,0))</x:f>
        <x:v>35864.18779199999</x:v>
      </x:c>
      <x:c r="H30" s="21" t="str">
        <x:f>INDEX('Task Matrix'!$P$5:$P$157,MATCH(A30,'Task Matrix'!$A$5:$A$157,0))</x:f>
        <x:v>Medium</x:v>
      </x:c>
      <x:c r="I30" s="21" t="str">
        <x:f>INDEX('Task Matrix'!$AK$5:$AK$157,MATCH(A30,'Task Matrix'!$A$5:$A$157,0))</x:f>
        <x:v>Validate next</x:v>
      </x:c>
      <x:c r="J30" s="21" t="str">
        <x:f>INDEX('Task Matrix'!$AJ$5:$AJ$157,MATCH(A30,'Task Matrix'!$A$5:$A$157,0))</x:f>
        <x:v>Domain-specific document work needs reliable citations, schemas, and review routing rather than generic chat.</x:v>
      </x:c>
    </x:row>
    <x:row r="31">
      <x:c r="A31" t="n">
        <x:v>27</x:v>
      </x:c>
      <x:c r="B31" s="21" t="str">
        <x:f>INDEX('Task Matrix'!$B$5:$B$157,MATCH(A31,'Task Matrix'!$A$5:$A$157,0))</x:f>
        <x:v>health_medicine/obermeyer_bias_reproduction</x:v>
      </x:c>
      <x:c r="C31" s="21" t="str">
        <x:f>INDEX('Task Matrix'!$C$5:$C$157,MATCH(A31,'Task Matrix'!$A$5:$A$157,0))</x:f>
        <x:v>obermeyer bias reproduction</x:v>
      </x:c>
      <x:c r="D31" s="21" t="str">
        <x:f>INDEX('Task Matrix'!$D$5:$D$157,MATCH(A31,'Task Matrix'!$A$5:$A$157,0))</x:f>
        <x:v>health_medicine</x:v>
      </x:c>
      <x:c r="E31" s="68" t="n">
        <x:f>INDEX('Task Matrix'!$AH$5:$AH$157,MATCH(A31,'Task Matrix'!$A$5:$A$157,0))</x:f>
        <x:v>68.88684210526317</x:v>
      </x:c>
      <x:c r="F31" s="68" t="n">
        <x:f>INDEX('Task Matrix'!$V$5:$V$157,MATCH(A31,'Task Matrix'!$A$5:$A$157,0))</x:f>
        <x:v>82</x:v>
      </x:c>
      <x:c r="G31" s="69" t="n">
        <x:f>INDEX('Task Matrix'!$AF$5:$AF$157,MATCH(A31,'Task Matrix'!$A$5:$A$157,0))</x:f>
        <x:v>40508.27538431999</x:v>
      </x:c>
      <x:c r="H31" s="21" t="str">
        <x:f>INDEX('Task Matrix'!$P$5:$P$157,MATCH(A31,'Task Matrix'!$A$5:$A$157,0))</x:f>
        <x:v>High</x:v>
      </x:c>
      <x:c r="I31" s="21" t="str">
        <x:f>INDEX('Task Matrix'!$AK$5:$AK$157,MATCH(A31,'Task Matrix'!$A$5:$A$157,0))</x:f>
        <x:v>Validate next</x:v>
      </x:c>
      <x:c r="J31" s="21" t="str">
        <x:f>INDEX('Task Matrix'!$AJ$5:$AJ$157,MATCH(A31,'Task Matrix'!$A$5:$A$157,0))</x:f>
        <x:v>Domain-specific document work needs reliable citations, schemas, and review routing rather than generic chat.</x:v>
      </x:c>
    </x:row>
    <x:row r="32">
      <x:c r="A32" t="n">
        <x:v>28</x:v>
      </x:c>
      <x:c r="B32" s="21" t="str">
        <x:f>INDEX('Task Matrix'!$B$5:$B$157,MATCH(A32,'Task Matrix'!$A$5:$A$157,0))</x:f>
        <x:v>life_sciences/protein_function_annotation_instance_1</x:v>
      </x:c>
      <x:c r="C32" s="21" t="str">
        <x:f>INDEX('Task Matrix'!$C$5:$C$157,MATCH(A32,'Task Matrix'!$A$5:$A$157,0))</x:f>
        <x:v>Protein Function Annotation With InterProScan</x:v>
      </x:c>
      <x:c r="D32" s="21" t="str">
        <x:f>INDEX('Task Matrix'!$D$5:$D$157,MATCH(A32,'Task Matrix'!$A$5:$A$157,0))</x:f>
        <x:v>life_sciences</x:v>
      </x:c>
      <x:c r="E32" s="68" t="n">
        <x:f>INDEX('Task Matrix'!$AH$5:$AH$157,MATCH(A32,'Task Matrix'!$A$5:$A$157,0))</x:f>
        <x:v>68.76842105263158</x:v>
      </x:c>
      <x:c r="F32" s="68" t="n">
        <x:f>INDEX('Task Matrix'!$V$5:$V$157,MATCH(A32,'Task Matrix'!$A$5:$A$157,0))</x:f>
        <x:v>64</x:v>
      </x:c>
      <x:c r="G32" s="69" t="n">
        <x:f>INDEX('Task Matrix'!$AF$5:$AF$157,MATCH(A32,'Task Matrix'!$A$5:$A$157,0))</x:f>
        <x:v>74793.6904</x:v>
      </x:c>
      <x:c r="H32" s="21" t="str">
        <x:f>INDEX('Task Matrix'!$P$5:$P$157,MATCH(A32,'Task Matrix'!$A$5:$A$157,0))</x:f>
        <x:v>Medium</x:v>
      </x:c>
      <x:c r="I32" s="21" t="str">
        <x:f>INDEX('Task Matrix'!$AK$5:$AK$157,MATCH(A32,'Task Matrix'!$A$5:$A$157,0))</x:f>
        <x:v>Validate next</x:v>
      </x:c>
      <x:c r="J32" s="21" t="str">
        <x:f>INDEX('Task Matrix'!$AJ$5:$AJ$157,MATCH(A32,'Task Matrix'!$A$5:$A$157,0))</x:f>
        <x:v>The gap is verified repair and migration inside constrained environments, with evidence that changes work.</x:v>
      </x:c>
    </x:row>
    <x:row r="33">
      <x:c r="A33" t="n">
        <x:v>29</x:v>
      </x:c>
      <x:c r="B33" s="21" t="str">
        <x:f>INDEX('Task Matrix'!$B$5:$B$157,MATCH(A33,'Task Matrix'!$A$5:$A$157,0))</x:f>
        <x:v>engineering/sumo_urban_am_peak_calibration</x:v>
      </x:c>
      <x:c r="C33" s="21" t="str">
        <x:f>INDEX('Task Matrix'!$C$5:$C$157,MATCH(A33,'Task Matrix'!$A$5:$A$157,0))</x:f>
        <x:v>SUMO Urban AM Peak Calibration</x:v>
      </x:c>
      <x:c r="D33" s="21" t="str">
        <x:f>INDEX('Task Matrix'!$D$5:$D$157,MATCH(A33,'Task Matrix'!$A$5:$A$157,0))</x:f>
        <x:v>engineering</x:v>
      </x:c>
      <x:c r="E33" s="68" t="n">
        <x:f>INDEX('Task Matrix'!$AH$5:$AH$157,MATCH(A33,'Task Matrix'!$A$5:$A$157,0))</x:f>
        <x:v>68.72236842105264</x:v>
      </x:c>
      <x:c r="F33" s="68" t="n">
        <x:f>INDEX('Task Matrix'!$V$5:$V$157,MATCH(A33,'Task Matrix'!$A$5:$A$157,0))</x:f>
        <x:v>82</x:v>
      </x:c>
      <x:c r="G33" s="69" t="n">
        <x:f>INDEX('Task Matrix'!$AF$5:$AF$157,MATCH(A33,'Task Matrix'!$A$5:$A$157,0))</x:f>
        <x:v>37383.023431680005</x:v>
      </x:c>
      <x:c r="H33" s="21" t="str">
        <x:f>INDEX('Task Matrix'!$P$5:$P$157,MATCH(A33,'Task Matrix'!$A$5:$A$157,0))</x:f>
        <x:v>High</x:v>
      </x:c>
      <x:c r="I33" s="21" t="str">
        <x:f>INDEX('Task Matrix'!$AK$5:$AK$157,MATCH(A33,'Task Matrix'!$A$5:$A$157,0))</x:f>
        <x:v>Validate next</x:v>
      </x:c>
      <x:c r="J33" s="21" t="str">
        <x:f>INDEX('Task Matrix'!$AJ$5:$AJ$157,MATCH(A33,'Task Matrix'!$A$5:$A$157,0))</x:f>
        <x:v>Organizations need repeatable extraction and evidence workflows across inconsistent source formats.</x:v>
      </x:c>
    </x:row>
    <x:row r="34">
      <x:c r="A34" t="n">
        <x:v>30</x:v>
      </x:c>
      <x:c r="B34" s="21" t="str">
        <x:f>INDEX('Task Matrix'!$B$5:$B$157,MATCH(A34,'Task Matrix'!$A$5:$A$157,0))</x:f>
        <x:v>life_sciences/gene_expression_differential_analysis_functional_enrichment_analysis_1</x:v>
      </x:c>
      <x:c r="C34" s="21" t="str">
        <x:f>INDEX('Task Matrix'!$C$5:$C$157,MATCH(A34,'Task Matrix'!$A$5:$A$157,0))</x:f>
        <x:v>BRCA Differential Expression And KEGG Enrichment Analysis</x:v>
      </x:c>
      <x:c r="D34" s="21" t="str">
        <x:f>INDEX('Task Matrix'!$D$5:$D$157,MATCH(A34,'Task Matrix'!$A$5:$A$157,0))</x:f>
        <x:v>life_sciences</x:v>
      </x:c>
      <x:c r="E34" s="68" t="n">
        <x:f>INDEX('Task Matrix'!$AH$5:$AH$157,MATCH(A34,'Task Matrix'!$A$5:$A$157,0))</x:f>
        <x:v>68.51710526315789</x:v>
      </x:c>
      <x:c r="F34" s="68" t="n">
        <x:f>INDEX('Task Matrix'!$V$5:$V$157,MATCH(A34,'Task Matrix'!$A$5:$A$157,0))</x:f>
        <x:v>82</x:v>
      </x:c>
      <x:c r="G34" s="69" t="n">
        <x:f>INDEX('Task Matrix'!$AF$5:$AF$157,MATCH(A34,'Task Matrix'!$A$5:$A$157,0))</x:f>
        <x:v>32436.459599999995</x:v>
      </x:c>
      <x:c r="H34" s="21" t="str">
        <x:f>INDEX('Task Matrix'!$P$5:$P$157,MATCH(A34,'Task Matrix'!$A$5:$A$157,0))</x:f>
        <x:v>Medium</x:v>
      </x:c>
      <x:c r="I34" s="21" t="str">
        <x:f>INDEX('Task Matrix'!$AK$5:$AK$157,MATCH(A34,'Task Matrix'!$A$5:$A$157,0))</x:f>
        <x:v>Validate next</x:v>
      </x:c>
      <x:c r="J34" s="21" t="str">
        <x:f>INDEX('Task Matrix'!$AJ$5:$AJ$157,MATCH(A34,'Task Matrix'!$A$5:$A$157,0))</x:f>
        <x:v>Organizations need repeatable extraction and evidence workflows across inconsistent source formats.</x:v>
      </x:c>
    </x:row>
  </x:sheetData>
  <x:mergeCells>
    <x:mergeCell ref="A1:J1"/>
    <x:mergeCell ref="A2:J3"/>
  </x:mergeCells>
  <x:conditionalFormatting sqref="E5:E34">
    <x:cfRule type="colorScale" priority="1">
      <x:colorScale>
        <x:cfvo type="min"/>
        <x:cfvo type="percentile" val="50"/>
        <x:cfvo type="max"/>
        <x:color rgb="FFFDE2E2"/>
        <x:color rgb="FFFFF0CC"/>
        <x:color rgb="FFDFF3E4"/>
      </x:colorScale>
    </x:cfRule>
  </x:conditionalFormatting>
  <x:conditionalFormatting sqref="I5:I34">
    <x:cfRule type="containsText" dxfId="4" priority="2" operator="containsText" text="Build no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Domain opportunity summary</x:v>
      </x:c>
      <x:c r="B1" s="3"/>
      <x:c r="C1" s="3"/>
      <x:c r="D1" s="3"/>
      <x:c r="E1" s="3"/>
      <x:c r="F1" s="3"/>
    </x:row>
    <x:row r="2">
      <x:c r="A2" s="7" t="str">
        <x:v>Formula-driven aggregation of the 153 task rows. Values represent a representative organization's modeled task frequency, not global market size.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4">
      <x:c r="A4" s="24" t="str">
        <x:v>Domain</x:v>
      </x:c>
      <x:c r="B4" s="24" t="str">
        <x:v>Task count</x:v>
      </x:c>
      <x:c r="C4" s="24" t="str">
        <x:v>Average opportunity</x:v>
      </x:c>
      <x:c r="D4" s="24" t="str">
        <x:v>Average Bonsai fit</x:v>
      </x:c>
      <x:c r="E4" s="24" t="str">
        <x:v>Target net annual value</x:v>
      </x:c>
      <x:c r="F4" s="24" t="str">
        <x:v>Build-now count</x:v>
      </x:c>
    </x:row>
    <x:row r="5">
      <x:c r="A5" t="str">
        <x:v>agriculture_env</x:v>
      </x:c>
      <x:c r="B5" t="n">
        <x:f>COUNTIF('Task Matrix'!$D$5:$D$157,A5)</x:f>
        <x:v>2</x:v>
      </x:c>
      <x:c r="C5" s="36" t="n">
        <x:f>AVERAGEIF('Task Matrix'!$D$5:$D$157,A5,'Task Matrix'!$AH$5:$AH$157)</x:f>
        <x:v>61.76973684210526</x:v>
      </x:c>
      <x:c r="D5" s="36" t="n">
        <x:f>AVERAGEIF('Task Matrix'!$D$5:$D$157,A5,'Task Matrix'!$V$5:$V$157)</x:f>
        <x:v>66.5</x:v>
      </x:c>
      <x:c r="E5" s="66" t="n">
        <x:f>SUMIF('Task Matrix'!$D$5:$D$157,A5,'Task Matrix'!$AF$5:$AF$157)</x:f>
        <x:v>47720.184168</x:v>
      </x:c>
      <x:c r="F5" t="n">
        <x:f>COUNTIFS('Task Matrix'!$D$5:$D$157,A5,'Task Matrix'!$AK$5:$AK$157,"Build now")</x:f>
        <x:v>0</x:v>
      </x:c>
    </x:row>
    <x:row r="6">
      <x:c r="A6" t="str">
        <x:v>business_finance</x:v>
      </x:c>
      <x:c r="B6" t="n">
        <x:f>COUNTIF('Task Matrix'!$D$5:$D$157,A6)</x:f>
        <x:v>21</x:v>
      </x:c>
      <x:c r="C6" s="36" t="n">
        <x:f>AVERAGEIF('Task Matrix'!$D$5:$D$157,A6,'Task Matrix'!$AH$5:$AH$157)</x:f>
        <x:v>59.37230576441103</x:v>
      </x:c>
      <x:c r="D6" s="36" t="n">
        <x:f>AVERAGEIF('Task Matrix'!$D$5:$D$157,A6,'Task Matrix'!$V$5:$V$157)</x:f>
        <x:v>58.23809523809524</x:v>
      </x:c>
      <x:c r="E6" s="66" t="n">
        <x:f>SUMIF('Task Matrix'!$D$5:$D$157,A6,'Task Matrix'!$AF$5:$AF$157)</x:f>
        <x:v>691203.5067016</x:v>
      </x:c>
      <x:c r="F6" t="n">
        <x:f>COUNTIFS('Task Matrix'!$D$5:$D$157,A6,'Task Matrix'!$AK$5:$AK$157,"Build now")</x:f>
        <x:v>3</x:v>
      </x:c>
    </x:row>
    <x:row r="7">
      <x:c r="A7" t="str">
        <x:v>computing_math</x:v>
      </x:c>
      <x:c r="B7" t="n">
        <x:f>COUNTIF('Task Matrix'!$D$5:$D$157,A7)</x:f>
        <x:v>23</x:v>
      </x:c>
      <x:c r="C7" s="36" t="n">
        <x:f>AVERAGEIF('Task Matrix'!$D$5:$D$157,A7,'Task Matrix'!$AH$5:$AH$157)</x:f>
        <x:v>57.47711670480548</x:v>
      </x:c>
      <x:c r="D7" s="36" t="n">
        <x:f>AVERAGEIF('Task Matrix'!$D$5:$D$157,A7,'Task Matrix'!$V$5:$V$157)</x:f>
        <x:v>64.21739130434783</x:v>
      </x:c>
      <x:c r="E7" s="66" t="n">
        <x:f>SUMIF('Task Matrix'!$D$5:$D$157,A7,'Task Matrix'!$AF$5:$AF$157)</x:f>
        <x:v>707361.8616339198</x:v>
      </x:c>
      <x:c r="F7" t="n">
        <x:f>COUNTIFS('Task Matrix'!$D$5:$D$157,A7,'Task Matrix'!$AK$5:$AK$157,"Build now")</x:f>
        <x:v>2</x:v>
      </x:c>
    </x:row>
    <x:row r="8">
      <x:c r="A8" t="str">
        <x:v>education_info</x:v>
      </x:c>
      <x:c r="B8" t="n">
        <x:f>COUNTIF('Task Matrix'!$D$5:$D$157,A8)</x:f>
        <x:v>4</x:v>
      </x:c>
      <x:c r="C8" s="36" t="n">
        <x:f>AVERAGEIF('Task Matrix'!$D$5:$D$157,A8,'Task Matrix'!$AH$5:$AH$157)</x:f>
        <x:v>60.162499999999994</x:v>
      </x:c>
      <x:c r="D8" s="36" t="n">
        <x:f>AVERAGEIF('Task Matrix'!$D$5:$D$157,A8,'Task Matrix'!$V$5:$V$157)</x:f>
        <x:v>59.75</x:v>
      </x:c>
      <x:c r="E8" s="66" t="n">
        <x:f>SUMIF('Task Matrix'!$D$5:$D$157,A8,'Task Matrix'!$AF$5:$AF$157)</x:f>
        <x:v>100038.34688</x:v>
      </x:c>
      <x:c r="F8" t="n">
        <x:f>COUNTIFS('Task Matrix'!$D$5:$D$157,A8,'Task Matrix'!$AK$5:$AK$157,"Build now")</x:f>
        <x:v>1</x:v>
      </x:c>
    </x:row>
    <x:row r="9">
      <x:c r="A9" t="str">
        <x:v>engineering</x:v>
      </x:c>
      <x:c r="B9" t="n">
        <x:f>COUNTIF('Task Matrix'!$D$5:$D$157,A9)</x:f>
        <x:v>20</x:v>
      </x:c>
      <x:c r="C9" s="36" t="n">
        <x:f>AVERAGEIF('Task Matrix'!$D$5:$D$157,A9,'Task Matrix'!$AH$5:$AH$157)</x:f>
        <x:v>41.493223684210534</x:v>
      </x:c>
      <x:c r="D9" s="36" t="n">
        <x:f>AVERAGEIF('Task Matrix'!$D$5:$D$157,A9,'Task Matrix'!$V$5:$V$157)</x:f>
        <x:v>33.75</x:v>
      </x:c>
      <x:c r="E9" s="66" t="n">
        <x:f>SUMIF('Task Matrix'!$D$5:$D$157,A9,'Task Matrix'!$AF$5:$AF$157)</x:f>
        <x:v>247663.94318848004</x:v>
      </x:c>
      <x:c r="F9" t="n">
        <x:f>COUNTIFS('Task Matrix'!$D$5:$D$157,A9,'Task Matrix'!$AK$5:$AK$157,"Build now")</x:f>
        <x:v>0</x:v>
      </x:c>
    </x:row>
    <x:row r="10">
      <x:c r="A10" t="str">
        <x:v>health_medicine</x:v>
      </x:c>
      <x:c r="B10" t="n">
        <x:f>COUNTIF('Task Matrix'!$D$5:$D$157,A10)</x:f>
        <x:v>26</x:v>
      </x:c>
      <x:c r="C10" s="36" t="n">
        <x:f>AVERAGEIF('Task Matrix'!$D$5:$D$157,A10,'Task Matrix'!$AH$5:$AH$157)</x:f>
        <x:v>58.75025303643726</x:v>
      </x:c>
      <x:c r="D10" s="36" t="n">
        <x:f>AVERAGEIF('Task Matrix'!$D$5:$D$157,A10,'Task Matrix'!$V$5:$V$157)</x:f>
        <x:v>57.03846153846154</x:v>
      </x:c>
      <x:c r="E10" s="66" t="n">
        <x:f>SUMIF('Task Matrix'!$D$5:$D$157,A10,'Task Matrix'!$AF$5:$AF$157)</x:f>
        <x:v>1589063.9041356796</x:v>
      </x:c>
      <x:c r="F10" t="n">
        <x:f>COUNTIFS('Task Matrix'!$D$5:$D$157,A10,'Task Matrix'!$AK$5:$AK$157,"Build now")</x:f>
        <x:v>2</x:v>
      </x:c>
    </x:row>
    <x:row r="11">
      <x:c r="A11" t="str">
        <x:v>legal</x:v>
      </x:c>
      <x:c r="B11" t="n">
        <x:f>COUNTIF('Task Matrix'!$D$5:$D$157,A11)</x:f>
        <x:v>2</x:v>
      </x:c>
      <x:c r="C11" s="36" t="n">
        <x:f>AVERAGEIF('Task Matrix'!$D$5:$D$157,A11,'Task Matrix'!$AH$5:$AH$157)</x:f>
        <x:v>79.2092105263158</x:v>
      </x:c>
      <x:c r="D11" s="36" t="n">
        <x:f>AVERAGEIF('Task Matrix'!$D$5:$D$157,A11,'Task Matrix'!$V$5:$V$157)</x:f>
        <x:v>87</x:v>
      </x:c>
      <x:c r="E11" s="66" t="n">
        <x:f>SUMIF('Task Matrix'!$D$5:$D$157,A11,'Task Matrix'!$AF$5:$AF$157)</x:f>
        <x:v>153615.59662591998</x:v>
      </x:c>
      <x:c r="F11" t="n">
        <x:f>COUNTIFS('Task Matrix'!$D$5:$D$157,A11,'Task Matrix'!$AK$5:$AK$157,"Build now")</x:f>
        <x:v>2</x:v>
      </x:c>
    </x:row>
    <x:row r="12">
      <x:c r="A12" t="str">
        <x:v>life_sciences</x:v>
      </x:c>
      <x:c r="B12" t="n">
        <x:f>COUNTIF('Task Matrix'!$D$5:$D$157,A12)</x:f>
        <x:v>19</x:v>
      </x:c>
      <x:c r="C12" s="36" t="n">
        <x:f>AVERAGEIF('Task Matrix'!$D$5:$D$157,A12,'Task Matrix'!$AH$5:$AH$157)</x:f>
        <x:v>61.096606648199455</x:v>
      </x:c>
      <x:c r="D12" s="36" t="n">
        <x:f>AVERAGEIF('Task Matrix'!$D$5:$D$157,A12,'Task Matrix'!$V$5:$V$157)</x:f>
        <x:v>58.578947368421055</x:v>
      </x:c>
      <x:c r="E12" s="66" t="n">
        <x:f>SUMIF('Task Matrix'!$D$5:$D$157,A12,'Task Matrix'!$AF$5:$AF$157)</x:f>
        <x:v>782019.4976499999</x:v>
      </x:c>
      <x:c r="F12" t="n">
        <x:f>COUNTIFS('Task Matrix'!$D$5:$D$157,A12,'Task Matrix'!$AK$5:$AK$157,"Build now")</x:f>
        <x:v>2</x:v>
      </x:c>
    </x:row>
    <x:row r="13">
      <x:c r="A13" t="str">
        <x:v>other</x:v>
      </x:c>
      <x:c r="B13" t="n">
        <x:f>COUNTIF('Task Matrix'!$D$5:$D$157,A13)</x:f>
        <x:v>2</x:v>
      </x:c>
      <x:c r="C13" s="36" t="n">
        <x:f>AVERAGEIF('Task Matrix'!$D$5:$D$157,A13,'Task Matrix'!$AH$5:$AH$157)</x:f>
        <x:v>32.92236842105263</x:v>
      </x:c>
      <x:c r="D13" s="36" t="n">
        <x:f>AVERAGEIF('Task Matrix'!$D$5:$D$157,A13,'Task Matrix'!$V$5:$V$157)</x:f>
        <x:v>32</x:v>
      </x:c>
      <x:c r="E13" s="66" t="n">
        <x:f>SUMIF('Task Matrix'!$D$5:$D$157,A13,'Task Matrix'!$AF$5:$AF$157)</x:f>
        <x:v>11053.306239999998</x:v>
      </x:c>
      <x:c r="F13" t="n">
        <x:f>COUNTIFS('Task Matrix'!$D$5:$D$157,A13,'Task Matrix'!$AK$5:$AK$157,"Build now")</x:f>
        <x:v>0</x:v>
      </x:c>
    </x:row>
    <x:row r="14">
      <x:c r="A14" t="str">
        <x:v>physical_sciences</x:v>
      </x:c>
      <x:c r="B14" t="n">
        <x:f>COUNTIF('Task Matrix'!$D$5:$D$157,A14)</x:f>
        <x:v>15</x:v>
      </x:c>
      <x:c r="C14" s="36" t="n">
        <x:f>AVERAGEIF('Task Matrix'!$D$5:$D$157,A14,'Task Matrix'!$AH$5:$AH$157)</x:f>
        <x:v>50.19877192982457</x:v>
      </x:c>
      <x:c r="D14" s="36" t="n">
        <x:f>AVERAGEIF('Task Matrix'!$D$5:$D$157,A14,'Task Matrix'!$V$5:$V$157)</x:f>
        <x:v>50.4</x:v>
      </x:c>
      <x:c r="E14" s="66" t="n">
        <x:f>SUMIF('Task Matrix'!$D$5:$D$157,A14,'Task Matrix'!$AF$5:$AF$157)</x:f>
        <x:v>252218.44885999995</x:v>
      </x:c>
      <x:c r="F14" t="n">
        <x:f>COUNTIFS('Task Matrix'!$D$5:$D$157,A14,'Task Matrix'!$AK$5:$AK$157,"Build now")</x:f>
        <x:v>1</x:v>
      </x:c>
    </x:row>
    <x:row r="15">
      <x:c r="A15" t="str">
        <x:v>psychology_neuro</x:v>
      </x:c>
      <x:c r="B15" t="n">
        <x:f>COUNTIF('Task Matrix'!$D$5:$D$157,A15)</x:f>
        <x:v>3</x:v>
      </x:c>
      <x:c r="C15" s="36" t="n">
        <x:f>AVERAGEIF('Task Matrix'!$D$5:$D$157,A15,'Task Matrix'!$AH$5:$AH$157)</x:f>
        <x:v>56.23245614035088</x:v>
      </x:c>
      <x:c r="D15" s="36" t="n">
        <x:f>AVERAGEIF('Task Matrix'!$D$5:$D$157,A15,'Task Matrix'!$V$5:$V$157)</x:f>
        <x:v>45.333333333333336</x:v>
      </x:c>
      <x:c r="E15" s="66" t="n">
        <x:f>SUMIF('Task Matrix'!$D$5:$D$157,A15,'Task Matrix'!$AF$5:$AF$157)</x:f>
        <x:v>49056.60187199999</x:v>
      </x:c>
      <x:c r="F15" t="n">
        <x:f>COUNTIFS('Task Matrix'!$D$5:$D$157,A15,'Task Matrix'!$AK$5:$AK$157,"Build now")</x:f>
        <x:v>0</x:v>
      </x:c>
    </x:row>
    <x:row r="16">
      <x:c r="A16" t="str">
        <x:v>social_sciences</x:v>
      </x:c>
      <x:c r="B16" t="n">
        <x:f>COUNTIF('Task Matrix'!$D$5:$D$157,A16)</x:f>
        <x:v>1</x:v>
      </x:c>
      <x:c r="C16" s="36" t="n">
        <x:f>AVERAGEIF('Task Matrix'!$D$5:$D$157,A16,'Task Matrix'!$AH$5:$AH$157)</x:f>
        <x:v>59.789473684210535</x:v>
      </x:c>
      <x:c r="D16" s="36" t="n">
        <x:f>AVERAGEIF('Task Matrix'!$D$5:$D$157,A16,'Task Matrix'!$V$5:$V$157)</x:f>
        <x:v>66</x:v>
      </x:c>
      <x:c r="E16" s="66" t="n">
        <x:f>SUMIF('Task Matrix'!$D$5:$D$157,A16,'Task Matrix'!$AF$5:$AF$157)</x:f>
        <x:v>18191.0772096</x:v>
      </x:c>
      <x:c r="F16" t="n">
        <x:f>COUNTIFS('Task Matrix'!$D$5:$D$157,A16,'Task Matrix'!$AK$5:$AK$157,"Build now")</x:f>
        <x:v>0</x:v>
      </x:c>
    </x:row>
    <x:row r="17">
      <x:c r="A17" t="str">
        <x:v>transport_safety</x:v>
      </x:c>
      <x:c r="B17" t="n">
        <x:f>COUNTIF('Task Matrix'!$D$5:$D$157,A17)</x:f>
        <x:v>3</x:v>
      </x:c>
      <x:c r="C17" s="36" t="n">
        <x:f>AVERAGEIF('Task Matrix'!$D$5:$D$157,A17,'Task Matrix'!$AH$5:$AH$157)</x:f>
        <x:v>59.94254385964913</x:v>
      </x:c>
      <x:c r="D17" s="36" t="n">
        <x:f>AVERAGEIF('Task Matrix'!$D$5:$D$157,A17,'Task Matrix'!$V$5:$V$157)</x:f>
        <x:v>65.33333333333333</x:v>
      </x:c>
      <x:c r="E17" s="66" t="n">
        <x:f>SUMIF('Task Matrix'!$D$5:$D$157,A17,'Task Matrix'!$AF$5:$AF$157)</x:f>
        <x:v>154615.59019263994</x:v>
      </x:c>
      <x:c r="F17" t="n">
        <x:f>COUNTIFS('Task Matrix'!$D$5:$D$157,A17,'Task Matrix'!$AK$5:$AK$157,"Build now")</x:f>
        <x:v>1</x:v>
      </x:c>
    </x:row>
    <x:row r="18">
      <x:c r="A18" t="str">
        <x:v>visual_media</x:v>
      </x:c>
      <x:c r="B18" t="n">
        <x:f>COUNTIF('Task Matrix'!$D$5:$D$157,A18)</x:f>
        <x:v>12</x:v>
      </x:c>
      <x:c r="C18" s="36" t="n">
        <x:f>AVERAGEIF('Task Matrix'!$D$5:$D$157,A18,'Task Matrix'!$AH$5:$AH$157)</x:f>
        <x:v>29.04177631578948</x:v>
      </x:c>
      <x:c r="D18" s="36" t="n">
        <x:f>AVERAGEIF('Task Matrix'!$D$5:$D$157,A18,'Task Matrix'!$V$5:$V$157)</x:f>
        <x:v>18.416666666666668</x:v>
      </x:c>
      <x:c r="E18" s="66" t="n">
        <x:f>SUMIF('Task Matrix'!$D$5:$D$157,A18,'Task Matrix'!$AF$5:$AF$157)</x:f>
        <x:v>38307.333734399996</x:v>
      </x:c>
      <x:c r="F18" t="n">
        <x:f>COUNTIFS('Task Matrix'!$D$5:$D$157,A18,'Task Matrix'!$AK$5:$AK$157,"Build now")</x:f>
        <x:v>0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3eac748d5ee842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55" hidden="0" customWidth="1"/>
  </x:cols>
  <x:sheetData>
    <x:row r="1" ht="32" customHeight="1">
      <x:c r="A1" s="3" t="str">
        <x:v>Economic value assumptions</x:v>
      </x:c>
      <x:c r="B1" s="3"/>
      <x:c r="C1" s="3"/>
      <x:c r="D1" s="3"/>
    </x:row>
    <x:row r="2">
      <x:c r="A2" s="7" t="str">
        <x:v>Blue values are editable assumptions. All task economics are work-unit estimates for a representative organization, not total addressable market claims.</x:v>
      </x:c>
      <x:c r="B2" s="7"/>
      <x:c r="C2" s="7"/>
      <x:c r="D2" s="7"/>
    </x:row>
    <x:row r="3">
      <x:c r="A3" s="7"/>
      <x:c r="B3" s="7"/>
      <x:c r="C3" s="7"/>
      <x:c r="D3" s="7"/>
    </x:row>
    <x:row r="5">
      <x:c r="A5" s="19" t="str">
        <x:v>Opportunity weight: economic percentile</x:v>
      </x:c>
      <x:c r="B5" s="20" t="n">
        <x:v>0.25</x:v>
      </x:c>
      <x:c r="C5" s="21"/>
      <x:c r="D5" s="21"/>
    </x:row>
    <x:row r="6">
      <x:c r="A6" s="19" t="str">
        <x:v>Opportunity weight: Bonsai fit</x:v>
      </x:c>
      <x:c r="B6" s="20" t="n">
        <x:v>0.3</x:v>
      </x:c>
      <x:c r="C6" s="21"/>
      <x:c r="D6" s="21"/>
    </x:row>
    <x:row r="7">
      <x:c r="A7" s="19" t="str">
        <x:v>Opportunity weight: market gap</x:v>
      </x:c>
      <x:c r="B7" s="20" t="n">
        <x:v>0.25</x:v>
      </x:c>
      <x:c r="C7" s="21"/>
      <x:c r="D7" s="21"/>
    </x:row>
    <x:row r="8">
      <x:c r="A8" s="19" t="str">
        <x:v>Opportunity weight: deployment readiness</x:v>
      </x:c>
      <x:c r="B8" s="20" t="n">
        <x:v>0.2</x:v>
      </x:c>
      <x:c r="C8" s="21"/>
      <x:c r="D8" s="21"/>
    </x:row>
    <x:row r="9">
      <x:c r="A9" s="19" t="str">
        <x:v>Current Bonsai maturity multiplier</x:v>
      </x:c>
      <x:c r="B9" s="20" t="n">
        <x:v>0.35</x:v>
      </x:c>
      <x:c r="C9" s="21"/>
      <x:c r="D9" s="21"/>
    </x:row>
    <x:row r="10">
      <x:c r="A10" s="19" t="str">
        <x:v>Target maturity multiplier (6 to 12 months)</x:v>
      </x:c>
      <x:c r="B10" s="20" t="n">
        <x:v>0.78</x:v>
      </x:c>
      <x:c r="C10" s="21"/>
      <x:c r="D10" s="21"/>
    </x:row>
    <x:row r="11">
      <x:c r="A11" s="19" t="str">
        <x:v>Target success-rate cap</x:v>
      </x:c>
      <x:c r="B11" s="20" t="n">
        <x:v>0.85</x:v>
      </x:c>
      <x:c r="C11" s="21"/>
      <x:c r="D11" s="21"/>
    </x:row>
    <x:row r="12">
      <x:c r="A12" s="19" t="str">
        <x:v>Risk penalty factor</x:v>
      </x:c>
      <x:c r="B12" s="22" t="n">
        <x:v>8</x:v>
      </x:c>
      <x:c r="C12" s="21"/>
      <x:c r="D12" s="21"/>
    </x:row>
    <x:row r="13">
      <x:c r="A13" s="19" t="str">
        <x:v>Inventory date</x:v>
      </x:c>
      <x:c r="B13" s="23" t="n">
        <x:v>46252</x:v>
      </x:c>
      <x:c r="C13" s="21"/>
      <x:c r="D13" s="21"/>
    </x:row>
    <x:row r="14" ht="58" customHeight="1">
      <x:c r="A14" s="19" t="str">
        <x:v>Model scope</x:v>
      </x:c>
      <x:c r="B14" s="21" t="str">
        <x:v>Bonsai-27B-Q1_0 through LM Studio; observed legal-agent behavior informs fit scores</x:v>
      </x:c>
      <x:c r="C14" s="21"/>
      <x:c r="D14" s="21"/>
    </x:row>
    <x:row r="15">
      <x:c r="A15" s="21"/>
      <x:c r="B15" s="21"/>
      <x:c r="C15" s="21"/>
      <x:c r="D15" s="21"/>
    </x:row>
    <x:row r="16">
      <x:c r="A16" s="21"/>
      <x:c r="B16" s="21"/>
      <x:c r="C16" s="21"/>
      <x:c r="D16" s="21"/>
    </x:row>
    <x:row r="17">
      <x:c r="A17" s="24" t="str">
        <x:v>Risk level</x:v>
      </x:c>
      <x:c r="B17" s="24" t="str">
        <x:v>Value proxy multiplier</x:v>
      </x:c>
      <x:c r="C17" s="21"/>
      <x:c r="D17" s="21"/>
    </x:row>
    <x:row r="18">
      <x:c r="A18" s="21" t="str">
        <x:v>Low</x:v>
      </x:c>
      <x:c r="B18" s="25" t="n">
        <x:v>1</x:v>
      </x:c>
      <x:c r="C18" s="21"/>
      <x:c r="D18" s="21"/>
    </x:row>
    <x:row r="19">
      <x:c r="A19" s="21" t="str">
        <x:v>Medium</x:v>
      </x:c>
      <x:c r="B19" s="25" t="n">
        <x:v>1.25</x:v>
      </x:c>
      <x:c r="C19" s="21"/>
      <x:c r="D19" s="21"/>
    </x:row>
    <x:row r="20">
      <x:c r="A20" s="21" t="str">
        <x:v>High</x:v>
      </x:c>
      <x:c r="B20" s="25" t="n">
        <x:v>1.6</x:v>
      </x:c>
      <x:c r="C20" s="21"/>
      <x:c r="D20" s="21"/>
    </x:row>
    <x:row r="21">
      <x:c r="A21" s="21" t="str">
        <x:v>Critical</x:v>
      </x:c>
      <x:c r="B21" s="25" t="n">
        <x:v>2.2</x:v>
      </x:c>
      <x:c r="C21" s="21"/>
      <x:c r="D21" s="21"/>
    </x:row>
    <x:row r="22">
      <x:c r="A22" s="21"/>
      <x:c r="B22" s="21"/>
      <x:c r="C22" s="21"/>
      <x:c r="D22" s="21"/>
    </x:row>
    <x:row r="23">
      <x:c r="A23" s="24" t="str">
        <x:v>BLS private-industry occupational group</x:v>
      </x:c>
      <x:c r="B23" s="24" t="str">
        <x:v>Total employer cost per hour</x:v>
      </x:c>
      <x:c r="C23" s="24" t="str">
        <x:v>As of</x:v>
      </x:c>
      <x:c r="D23" s="24" t="str">
        <x:v>Source</x:v>
      </x:c>
    </x:row>
    <x:row r="24">
      <x:c r="A24" s="21" t="str">
        <x:v>Management, business, and financial</x:v>
      </x:c>
      <x:c r="B24" s="26" t="n">
        <x:v>87.69</x:v>
      </x:c>
      <x:c r="C24" s="21" t="str">
        <x:v>March 2026</x:v>
      </x:c>
      <x:c r="D24" s="21" t="str">
        <x:v>https://www.bls.gov/news.release/ecec.t04.htm</x:v>
      </x:c>
    </x:row>
    <x:row r="25">
      <x:c r="A25" s="21" t="str">
        <x:v>Professional and related</x:v>
      </x:c>
      <x:c r="B25" s="26" t="n">
        <x:v>72.99</x:v>
      </x:c>
      <x:c r="C25" s="21" t="str">
        <x:v>March 2026</x:v>
      </x:c>
      <x:c r="D25" s="21" t="str">
        <x:v>https://www.bls.gov/news.release/ecec.t04.htm</x:v>
      </x:c>
    </x:row>
    <x:row r="26">
      <x:c r="A26" s="21" t="str">
        <x:v>Office and administrative support</x:v>
      </x:c>
      <x:c r="B26" s="26" t="n">
        <x:v>36.42</x:v>
      </x:c>
      <x:c r="C26" s="21" t="str">
        <x:v>March 2026</x:v>
      </x:c>
      <x:c r="D26" s="21" t="str">
        <x:v>https://www.bls.gov/news.release/ecec.t04.htm</x:v>
      </x:c>
    </x:row>
    <x:row r="27">
      <x:c r="A27" s="21" t="str">
        <x:v>Natural resources, construction, and maintenance</x:v>
      </x:c>
      <x:c r="B27" s="26" t="n">
        <x:v>47.48</x:v>
      </x:c>
      <x:c r="C27" s="21" t="str">
        <x:v>March 2026</x:v>
      </x:c>
      <x:c r="D27" s="21" t="str">
        <x:v>https://www.bls.gov/news.release/ecec.t04.htm</x:v>
      </x:c>
    </x:row>
    <x:row r="28">
      <x:c r="A28" s="21" t="str">
        <x:v>Production, transportation, and material moving</x:v>
      </x:c>
      <x:c r="B28" s="26" t="n">
        <x:v>36.26</x:v>
      </x:c>
      <x:c r="C28" s="21" t="str">
        <x:v>March 2026</x:v>
      </x:c>
      <x:c r="D28" s="21" t="str">
        <x:v>https://www.bls.gov/news.release/ecec.t04.htm</x:v>
      </x:c>
    </x:row>
    <x:row r="29">
      <x:c r="A29" s="21" t="str">
        <x:v>Service</x:v>
      </x:c>
      <x:c r="B29" s="26" t="n">
        <x:v>23.63</x:v>
      </x:c>
      <x:c r="C29" s="21" t="str">
        <x:v>March 2026</x:v>
      </x:c>
      <x:c r="D29" s="21" t="str">
        <x:v>https://www.bls.gov/news.release/ecec.t04.htm</x:v>
      </x:c>
    </x:row>
    <x:row r="30">
      <x:c r="A30" s="21"/>
      <x:c r="B30" s="21"/>
      <x:c r="C30" s="21"/>
      <x:c r="D30" s="21"/>
    </x:row>
  </x:sheetData>
  <x:mergeCells>
    <x:mergeCell ref="A1:D1"/>
    <x:mergeCell ref="A2:D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62" hidden="0" customWidth="1"/>
    <x:col min="5" max="5" width="52" hidden="0" customWidth="1"/>
  </x:cols>
  <x:sheetData>
    <x:row r="1" ht="32" customHeight="1">
      <x:c r="A1" s="3" t="str">
        <x:v>Sources and methodology</x:v>
      </x:c>
      <x:c r="B1" s="3"/>
      <x:c r="C1" s="3"/>
      <x:c r="D1" s="3"/>
      <x:c r="E1" s="3"/>
    </x:row>
    <x:row r="2">
      <x:c r="A2" s="7" t="str">
        <x:v>Sourced facts and analyst assumptions are kept separate. Every task row comes from its official task card; all economic values are scenario estimates that should be replaced with customer observations.</x:v>
      </x:c>
      <x:c r="B2" s="7"/>
      <x:c r="C2" s="7"/>
      <x:c r="D2" s="7"/>
      <x:c r="E2" s="7"/>
    </x:row>
    <x:row r="3">
      <x:c r="A3" s="7"/>
      <x:c r="B3" s="7"/>
      <x:c r="C3" s="7"/>
      <x:c r="D3" s="7"/>
      <x:c r="E3" s="7"/>
    </x:row>
    <x:row r="4">
      <x:c r="A4" s="24" t="str">
        <x:v>Source ID</x:v>
      </x:c>
      <x:c r="B4" s="24" t="str">
        <x:v>Use</x:v>
      </x:c>
      <x:c r="C4" s="24" t="str">
        <x:v>As of</x:v>
      </x:c>
      <x:c r="D4" s="24" t="str">
        <x:v>URL or path</x:v>
      </x:c>
      <x:c r="E4" s="24" t="str">
        <x:v>Notes</x:v>
      </x:c>
    </x:row>
    <x:row r="5">
      <x:c r="A5" s="21" t="str">
        <x:v>S1</x:v>
      </x:c>
      <x:c r="B5" s="21" t="str">
        <x:v>ALE inventory and task descriptions</x:v>
      </x:c>
      <x:c r="C5" s="21" t="str">
        <x:v>2026-08-18</x:v>
      </x:c>
      <x:c r="D5" s="21" t="str">
        <x:v>https://github.com/rdi-berkeley/agents-last-exam</x:v>
      </x:c>
      <x:c r="E5" s="21" t="str">
        <x:v>Official benchmark repository. ALE describes long-horizon professional tasks with verifiable outcomes.</x:v>
      </x:c>
    </x:row>
    <x:row r="6">
      <x:c r="A6" s="21" t="str">
        <x:v>S2</x:v>
      </x:c>
      <x:c r="B6" s="21" t="str">
        <x:v>Official gated task archive</x:v>
      </x:c>
      <x:c r="C6" s="21" t="str">
        <x:v>2026-08-18</x:v>
      </x:c>
      <x:c r="D6" s="21" t="str">
        <x:v>https://huggingface.co/datasets/agents-last-exam/agents-last-exam-data-archive</x:v>
      </x:c>
      <x:c r="E6" s="21" t="str">
        <x:v>Benchmark data source. Hidden references are not used in this economic mapping.</x:v>
      </x:c>
    </x:row>
    <x:row r="7">
      <x:c r="A7" s="21" t="str">
        <x:v>S3</x:v>
      </x:c>
      <x:c r="B7" s="21" t="str">
        <x:v>Loaded employer cost by occupational group</x:v>
      </x:c>
      <x:c r="C7" s="21" t="str">
        <x:v>2026-03</x:v>
      </x:c>
      <x:c r="D7" s="21" t="str">
        <x:v>https://www.bls.gov/news.release/ecec.t04.htm</x:v>
      </x:c>
      <x:c r="E7" s="21" t="str">
        <x:v>BLS ECEC Table 4. Rates are total compensation per hour for private-industry occupational groups.</x:v>
      </x:c>
    </x:row>
    <x:row r="8">
      <x:c r="A8" s="21" t="str">
        <x:v>S4</x:v>
      </x:c>
      <x:c r="B8" s="21" t="str">
        <x:v>Current private-industry compensation baseline</x:v>
      </x:c>
      <x:c r="C8" s="21" t="str">
        <x:v>2026-03</x:v>
      </x:c>
      <x:c r="D8" s="21" t="str">
        <x:v>https://www.bls.gov/ecec/</x:v>
      </x:c>
      <x:c r="E8" s="21" t="str">
        <x:v>BLS reported private-industry total compensation of $46.60 per hour in March 2026.</x:v>
      </x:c>
    </x:row>
    <x:row r="9">
      <x:c r="A9" s="21" t="str">
        <x:v>S5</x:v>
      </x:c>
      <x:c r="B9" s="21" t="str">
        <x:v>Risk and human-oversight framing</x:v>
      </x:c>
      <x:c r="C9" s="21" t="str">
        <x:v>2026-08-18</x:v>
      </x:c>
      <x:c r="D9" s="21" t="str">
        <x:v>https://www.nist.gov/itl/ai-risk-management-framework</x:v>
      </x:c>
      <x:c r="E9" s="21" t="str">
        <x:v>NIST AI RMF is used only as a general risk-management reference. Risk multipliers are analyst assumptions.</x:v>
      </x:c>
    </x:row>
    <x:row r="10">
      <x:c r="A10" s="21" t="str">
        <x:v>S6</x:v>
      </x:c>
      <x:c r="B10" s="21" t="str">
        <x:v>Bonsai observed behavior</x:v>
      </x:c>
      <x:c r="C10" s="21" t="str">
        <x:v>2026-08-18</x:v>
      </x:c>
      <x:c r="D10" s="21" t="str">
        <x:v>/Users/jaibhagat/code/prismml/agents-last-exam/.logs/bonsai-legal</x:v>
      </x:c>
      <x:c r="E10" s="21" t="str">
        <x:v>Observed strengths: document reading and targeted search. Observed weaknesses: context control, tool recovery, artifact completion, and stopping.</x:v>
      </x:c>
    </x:row>
    <x:row r="11">
      <x:c r="A11" s="21"/>
      <x:c r="B11" s="21"/>
      <x:c r="C11" s="21"/>
      <x:c r="D11" s="21"/>
      <x:c r="E11" s="21"/>
    </x:row>
    <x:row r="12">
      <x:c r="A12" s="21"/>
      <x:c r="B12" s="21"/>
      <x:c r="C12" s="21"/>
      <x:c r="D12" s="21"/>
      <x:c r="E12" s="21"/>
    </x:row>
    <x:row r="13">
      <x:c r="A13" s="24" t="str">
        <x:v>Method step</x:v>
      </x:c>
      <x:c r="B13" s="24" t="str">
        <x:v>Definition</x:v>
      </x:c>
      <x:c r="C13" s="24" t="str">
        <x:v>Formula or rule</x:v>
      </x:c>
      <x:c r="D13" s="24" t="str">
        <x:v>Editable?</x:v>
      </x:c>
      <x:c r="E13" s="24" t="str">
        <x:v>Limitation</x:v>
      </x:c>
    </x:row>
    <x:row r="14">
      <x:c r="A14" s="21" t="str">
        <x:v>1. Human time</x:v>
      </x:c>
      <x:c r="B14" s="21" t="str">
        <x:v>Estimated qualified-worker hours for one ALE work unit</x:v>
      </x:c>
      <x:c r="C14" s="21" t="str">
        <x:v>Low = 55% of base; high = 180% of base</x:v>
      </x:c>
      <x:c r="D14" s="21" t="str">
        <x:v>Yes</x:v>
      </x:c>
      <x:c r="E14" s="21" t="str">
        <x:v>Not measured from time studies</x:v>
      </x:c>
    </x:row>
    <x:row r="15">
      <x:c r="A15" s="21" t="str">
        <x:v>2. Loaded labor rate</x:v>
      </x:c>
      <x:c r="B15" s="21" t="str">
        <x:v>BLS occupational-group employer cost with specialist premium</x:v>
      </x:c>
      <x:c r="C15" s="21" t="str">
        <x:v>BLS rate × specialist premium</x:v>
      </x:c>
      <x:c r="D15" s="21" t="str">
        <x:v>Yes</x:v>
      </x:c>
      <x:c r="E15" s="21" t="str">
        <x:v>Broad occupational groups, not occupation-specific billing rates</x:v>
      </x:c>
    </x:row>
    <x:row r="16">
      <x:c r="A16" s="21" t="str">
        <x:v>3. Value proxy</x:v>
      </x:c>
      <x:c r="B16" s="21" t="str">
        <x:v>Labor replacement plus a transparent risk-priority multiplier</x:v>
      </x:c>
      <x:c r="C16" s="21" t="str">
        <x:v>Hours × loaded rate × risk multiplier</x:v>
      </x:c>
      <x:c r="D16" s="21" t="str">
        <x:v>Yes</x:v>
      </x:c>
      <x:c r="E16" s="21" t="str">
        <x:v>Not expected-loss modeling and not market price</x:v>
      </x:c>
    </x:row>
    <x:row r="17">
      <x:c r="A17" s="21" t="str">
        <x:v>4. Annual gross value</x:v>
      </x:c>
      <x:c r="B17" s="21" t="str">
        <x:v>Representative-organization work-unit value</x:v>
      </x:c>
      <x:c r="C17" s="21" t="str">
        <x:v>Base value × annual frequency</x:v>
      </x:c>
      <x:c r="D17" s="21" t="str">
        <x:v>Yes</x:v>
      </x:c>
      <x:c r="E17" s="21" t="str">
        <x:v>Frequency must be calibrated with customers</x:v>
      </x:c>
    </x:row>
    <x:row r="18">
      <x:c r="A18" s="21" t="str">
        <x:v>5. Net annual value</x:v>
      </x:c>
      <x:c r="B18" s="21" t="str">
        <x:v>Value captured after expected success, review, and compute</x:v>
      </x:c>
      <x:c r="C18" s="21" t="str">
        <x:v>Frequency × (value × success − review cost − compute)</x:v>
      </x:c>
      <x:c r="D18" s="21" t="str">
        <x:v>Yes</x:v>
      </x:c>
      <x:c r="E18" s="21" t="str">
        <x:v>Does not include implementation, sales, or switching cost</x:v>
      </x:c>
    </x:row>
    <x:row r="19">
      <x:c r="A19" s="21" t="str">
        <x:v>6. Bonsai fit</x:v>
      </x:c>
      <x:c r="B19" s="21" t="str">
        <x:v>Task suitability based on observed Bonsai strengths and weaknesses</x:v>
      </x:c>
      <x:c r="C19" s="21" t="str">
        <x:v>Text and structured outputs score higher; GUI, long context, and safety risk score lower</x:v>
      </x:c>
      <x:c r="D19" s="21" t="str">
        <x:v>Yes</x:v>
      </x:c>
      <x:c r="E19" s="21" t="str">
        <x:v>Provisional until clean benchmark runs exist</x:v>
      </x:c>
    </x:row>
    <x:row r="20">
      <x:c r="A20" s="21" t="str">
        <x:v>7. Market gap</x:v>
      </x:c>
      <x:c r="B20" s="21" t="str">
        <x:v>Analyst estimate of unmet workflow need</x:v>
      </x:c>
      <x:c r="C20" s="21" t="str">
        <x:v>Higher for fragmented, specialist, private, multilingual, and compliance workflows</x:v>
      </x:c>
      <x:c r="D20" s="21" t="str">
        <x:v>Yes</x:v>
      </x:c>
      <x:c r="E20" s="21" t="str">
        <x:v>Requires customer discovery</x:v>
      </x:c>
    </x:row>
    <x:row r="21">
      <x:c r="A21" s="21" t="str">
        <x:v>8. Opportunity</x:v>
      </x:c>
      <x:c r="B21" s="21" t="str">
        <x:v>Weighted prioritization score</x:v>
      </x:c>
      <x:c r="C21" s="21" t="str">
        <x:v>25% economics + 30% fit + 25% gap + 20% readiness − risk penalty</x:v>
      </x:c>
      <x:c r="D21" s="21" t="str">
        <x:v>Yes</x:v>
      </x:c>
      <x:c r="E21" s="21" t="str">
        <x:v>A ranking tool, not a forecast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50" hidden="0" customWidth="1"/>
  </x:cols>
  <x:sheetData>
    <x:row r="1" ht="32" customHeight="1">
      <x:c r="A1" s="3" t="str">
        <x:v>Model checks</x:v>
      </x:c>
      <x:c r="B1" s="3"/>
      <x:c r="C1" s="3"/>
      <x:c r="D1" s="3"/>
      <x:c r="E1" s="3"/>
      <x:c r="F1" s="3"/>
    </x:row>
    <x:row r="2">
      <x:c r="A2" s="7" t="str">
        <x:v>Checks must show OK before the workbook is used for prioritization. Differences are formula-driven and should remain zero.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4">
      <x:c r="A4" s="14" t="str">
        <x:v>Check</x:v>
      </x:c>
      <x:c r="B4" s="14" t="str">
        <x:v>Actual</x:v>
      </x:c>
      <x:c r="C4" s="14" t="str">
        <x:v>Expected</x:v>
      </x:c>
      <x:c r="D4" s="14" t="str">
        <x:v>Difference</x:v>
      </x:c>
      <x:c r="E4" s="14" t="str">
        <x:v>Status</x:v>
      </x:c>
      <x:c r="F4" s="14" t="str">
        <x:v>Notes</x:v>
      </x:c>
    </x:row>
    <x:row r="5">
      <x:c r="A5" t="str">
        <x:v>Published task count</x:v>
      </x:c>
      <x:c r="B5" t="n">
        <x:f>COUNTA('Task Matrix'!$B$5:$B$157)</x:f>
        <x:v>153</x:v>
      </x:c>
      <x:c r="C5" t="n">
        <x:v>153</x:v>
      </x:c>
      <x:c r="D5" t="n">
        <x:f>B5-C5</x:f>
        <x:v>0</x:v>
      </x:c>
      <x:c r="E5" t="str">
        <x:f>IF(ABS(D5)&lt;0.0001,"OK","CHECK")</x:f>
        <x:v>OK</x:v>
      </x:c>
      <x:c r="F5" t="str">
        <x:v>One row per key in tasks/published_tasks.json</x:v>
      </x:c>
    </x:row>
    <x:row r="6">
      <x:c r="A6" t="str">
        <x:v>Opportunity weights sum</x:v>
      </x:c>
      <x:c r="B6" t="n">
        <x:f>SUM('Assumptions'!$B$5:$B$8)</x:f>
        <x:v>1</x:v>
      </x:c>
      <x:c r="C6" t="n">
        <x:v>1</x:v>
      </x:c>
      <x:c r="D6" t="n">
        <x:f>B6-C6</x:f>
        <x:v>0</x:v>
      </x:c>
      <x:c r="E6" t="str">
        <x:f>IF(ABS(D6)&lt;0.0001,"OK","CHECK")</x:f>
        <x:v>OK</x:v>
      </x:c>
      <x:c r="F6" t="str">
        <x:v>Economic, fit, gap, and readiness weights</x:v>
      </x:c>
    </x:row>
    <x:row r="7">
      <x:c r="A7" t="str">
        <x:v>Minimum opportunity score</x:v>
      </x:c>
      <x:c r="B7" t="n">
        <x:f>MIN('Task Matrix'!$AH$5:$AH$157)</x:f>
        <x:v>22.334210526315786</x:v>
      </x:c>
      <x:c r="C7" t="n">
        <x:v>0</x:v>
      </x:c>
      <x:c r="D7" t="n">
        <x:f>MAX(0,C7-B7)</x:f>
        <x:v>0</x:v>
      </x:c>
      <x:c r="E7" t="str">
        <x:f>IF(ABS(D7)&lt;0.0001,"OK","CHECK")</x:f>
        <x:v>OK</x:v>
      </x:c>
      <x:c r="F7" t="str">
        <x:v>Must be at least zero</x:v>
      </x:c>
    </x:row>
    <x:row r="8">
      <x:c r="A8" t="str">
        <x:v>Maximum opportunity score</x:v>
      </x:c>
      <x:c r="B8" t="n">
        <x:f>MAX('Task Matrix'!$AH$5:$AH$157)</x:f>
        <x:v>82.2092105263158</x:v>
      </x:c>
      <x:c r="C8" t="n">
        <x:v>100</x:v>
      </x:c>
      <x:c r="D8" t="n">
        <x:f>MAX(0,B8-C8)</x:f>
        <x:v>0</x:v>
      </x:c>
      <x:c r="E8" t="str">
        <x:f>IF(ABS(D8)&lt;0.0001,"OK","CHECK")</x:f>
        <x:v>OK</x:v>
      </x:c>
      <x:c r="F8" t="str">
        <x:v>Must be no more than 100</x:v>
      </x:c>
    </x:row>
    <x:row r="9">
      <x:c r="A9" t="str">
        <x:v>Missing task IDs</x:v>
      </x:c>
      <x:c r="B9" t="n">
        <x:f>COUNTBLANK('Task Matrix'!$B$5:$B$157)</x:f>
        <x:v>0</x:v>
      </x:c>
      <x:c r="C9" t="n">
        <x:v>0</x:v>
      </x:c>
      <x:c r="D9" t="n">
        <x:f>B9-C9</x:f>
        <x:v>0</x:v>
      </x:c>
      <x:c r="E9" t="str">
        <x:f>IF(ABS(D9)&lt;0.0001,"OK","CHECK")</x:f>
        <x:v>OK</x:v>
      </x:c>
      <x:c r="F9" t="str">
        <x:v>Task ID is required for every row</x:v>
      </x:c>
    </x:row>
    <x:row r="10">
      <x:c r="A10" t="str">
        <x:v>Missing titles</x:v>
      </x:c>
      <x:c r="B10" t="n">
        <x:f>COUNTBLANK('Task Matrix'!$C$5:$C$157)</x:f>
        <x:v>0</x:v>
      </x:c>
      <x:c r="C10" t="n">
        <x:v>0</x:v>
      </x:c>
      <x:c r="D10" t="n">
        <x:f>B10-C10</x:f>
        <x:v>0</x:v>
      </x:c>
      <x:c r="E10" t="str">
        <x:f>IF(ABS(D10)&lt;0.0001,"OK","CHECK")</x:f>
        <x:v>OK</x:v>
      </x:c>
      <x:c r="F10" t="str">
        <x:v>Blank official titles fall back to normalized task ID</x:v>
      </x:c>
    </x:row>
    <x:row r="11">
      <x:c r="A11" s="55" t="str">
        <x:v>Overall model status</x:v>
      </x:c>
      <x:c r="B11" s="55" t="str">
        <x:f>IF(COUNTIF(E5:E10,"CHECK")=0,"OK","CHECK")</x:f>
        <x:v>OK</x:v>
      </x:c>
      <x:c r="C11" s="55"/>
      <x:c r="D11" s="55"/>
      <x:c r="E11" s="55"/>
      <x:c r="F11" s="55" t="str">
        <x:v>All checks must pass</x:v>
      </x:c>
    </x:row>
  </x:sheetData>
  <x:mergeCells>
    <x:mergeCell ref="A1:F1"/>
    <x:mergeCell ref="A2:F3"/>
  </x:mergeCells>
  <x:conditionalFormatting sqref="E5:E10">
    <x:cfRule type="containsText" dxfId="6" priority="1" operator="containsText" text="OK"/>
    <x:cfRule type="containsText" dxfId="7" priority="2" operator="containsText" text="CHECK"/>
  </x:conditionalFormatting>
  <x:conditionalFormatting sqref="B11:B11">
    <x:cfRule type="containsText" dxfId="8" priority="3" operator="containsText" text="OK"/>
    <x:cfRule type="containsText" dxfId="9" priority="4" operator="containsText" text="CHECK"/>
  </x:conditionalFormatting>
  <x:pageMargins left="0.7" right="0.7" top="0.75" bottom="0.75" header="0.3" footer="0.3"/>
</x:worksheet>
</file>